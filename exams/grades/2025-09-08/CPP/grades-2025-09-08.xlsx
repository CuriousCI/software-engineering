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ex-2025-02-25" sheetId="4" state="visible" r:id="rId6"/>
    <sheet name="ex-2025-03-21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<sst xmlns="http://schemas.openxmlformats.org/spreadsheetml/2006/main" count="33" uniqueCount="27">
  <si>
    <t xml:space="preserve">Exercise</t>
  </si>
  <si>
    <t xml:space="preserve">Tests Ex 1</t>
  </si>
  <si>
    <t xml:space="preserve">Tests Ex 2</t>
  </si>
  <si>
    <t xml:space="preserve">Tests Ex 3</t>
  </si>
  <si>
    <t xml:space="preserve">Tests Ex 4</t>
  </si>
  <si>
    <t xml:space="preserve">Tests Ex 5</t>
  </si>
  <si>
    <t xml:space="preserve"> Matricola</t>
  </si>
  <si>
    <t xml:space="preserve">SCORE</t>
  </si>
  <si>
    <t xml:space="preserve">Non valutabili causa errori formattazione:</t>
  </si>
  <si>
    <t xml:space="preserve"> Manca numero matricola nel nome del file zip.</t>
  </si>
  <si>
    <t xml:space="preserve">Errore formattazione nome file zip: usato _ invece di -</t>
  </si>
  <si>
    <t xml:space="preserve">EX 1</t>
  </si>
  <si>
    <t xml:space="preserve">Test 1</t>
  </si>
  <si>
    <t xml:space="preserve">Test 1: Increasing the number of drones (N) the collision rate increases</t>
  </si>
  <si>
    <t xml:space="preserve">Test 2</t>
  </si>
  <si>
    <t xml:space="preserve">Test 2: Decreasing the Volume (L) the collision rate increases</t>
  </si>
  <si>
    <t xml:space="preserve">EX2</t>
  </si>
  <si>
    <t xml:space="preserve">Collision rate must be less than that in exercise 1.</t>
  </si>
  <si>
    <t xml:space="preserve">Increasing the number of drones (N) the collision rate increases</t>
  </si>
  <si>
    <t xml:space="preserve">Test 3</t>
  </si>
  <si>
    <t xml:space="preserve">Decreasing the Volume (L) the collision rate increases</t>
  </si>
  <si>
    <t xml:space="preserve">CDF</t>
  </si>
  <si>
    <t xml:space="preserve">TOTAL</t>
  </si>
  <si>
    <t xml:space="preserve">From</t>
  </si>
  <si>
    <t xml:space="preserve">To</t>
  </si>
  <si>
    <t xml:space="preserve">Grade</t>
  </si>
  <si>
    <t xml:space="preserve">Matricola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</si>
</sst>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3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38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55"/>
  <sheetViews>
    <sheetView showFormulas="false" showGridLines="true" showRowColHeaders="true" showZeros="true" rightToLeft="false" tabSelected="true" showOutlineSymbols="true" defaultGridColor="true" view="normal" topLeftCell="A7" colorId="64" zoomScale="150" zoomScaleNormal="150" zoomScalePageLayoutView="100" workbookViewId="0">
      <pane xSplit="1" ySplit="0" topLeftCell="B7" activePane="topRight" state="frozen"/>
      <selection pane="topLeft" activeCell="A7" activeCellId="0" sqref="A7"/>
      <selection pane="topRight" activeCell="B4" activeCellId="0" sqref="4:4"/>
    </sheetView>
  </sheetViews>
  <sheetFormatPr defaultColWidth="12.00390625" defaultRowHeight="12.8" zeroHeight="false" outlineLevelRow="0" outlineLevelCol="0"/>
  <cols>
    <col collapsed="false" customWidth="true" hidden="false" outlineLevel="0" max="1" min="1" style="1" width="11.77"/>
    <col collapsed="false" customWidth="true" hidden="false" outlineLevel="0" max="2" min="2" style="1" width="19.75"/>
    <col collapsed="false" customWidth="true" hidden="false" outlineLevel="0" max="7" min="3" style="2" width="3.37"/>
    <col collapsed="false" customWidth="true" hidden="false" outlineLevel="0" max="9" min="8" style="1" width="3.37"/>
    <col collapsed="false" customWidth="true" hidden="false" outlineLevel="0" max="12" min="10" style="3" width="3.37"/>
    <col collapsed="false" customWidth="true" hidden="false" outlineLevel="0" max="13" min="13" style="4" width="5.19"/>
    <col collapsed="false" customWidth="true" hidden="false" outlineLevel="0" max="15" min="14" style="4" width="3.37"/>
    <col collapsed="false" customWidth="true" hidden="false" outlineLevel="0" max="17" min="16" style="3" width="3.37"/>
    <col collapsed="false" customWidth="true" hidden="false" outlineLevel="0" max="22" min="18" style="1" width="3.37"/>
    <col collapsed="false" customWidth="true" hidden="false" outlineLevel="0" max="27" min="23" style="4" width="3.37"/>
    <col collapsed="false" customWidth="true" hidden="false" outlineLevel="0" max="32" min="28" style="1" width="3.37"/>
    <col collapsed="false" customWidth="false" hidden="false" outlineLevel="0" max="1020" min="33" style="1" width="11.99"/>
    <col collapsed="false" customWidth="true" hidden="false" outlineLevel="0" max="1023" min="1021" style="1" width="11.52"/>
    <col collapsed="false" customWidth="true" hidden="false" outlineLevel="0" max="16384" min="16384" style="0" width="11.53"/>
  </cols>
  <sheetData>
    <row r="1" s="5" customFormat="true" ht="12.8" hidden="false" customHeight="false" outlineLevel="0" collapsed="false">
      <c r="A1" s="1"/>
      <c r="C1" s="6" t="s">
        <v>0</v>
      </c>
      <c r="D1" s="6"/>
      <c r="E1" s="6"/>
      <c r="F1" s="6"/>
      <c r="G1" s="6"/>
      <c r="H1" s="7" t="s">
        <v>1</v>
      </c>
      <c r="I1" s="7"/>
      <c r="J1" s="7"/>
      <c r="K1" s="7"/>
      <c r="L1" s="7"/>
      <c r="M1" s="8" t="s">
        <v>2</v>
      </c>
      <c r="N1" s="8"/>
      <c r="O1" s="8"/>
      <c r="P1" s="8"/>
      <c r="Q1" s="8"/>
      <c r="R1" s="7" t="s">
        <v>3</v>
      </c>
      <c r="S1" s="7"/>
      <c r="T1" s="7"/>
      <c r="U1" s="7"/>
      <c r="V1" s="7"/>
      <c r="W1" s="8" t="s">
        <v>4</v>
      </c>
      <c r="X1" s="8"/>
      <c r="Y1" s="8"/>
      <c r="Z1" s="8"/>
      <c r="AA1" s="8"/>
      <c r="AB1" s="7" t="s">
        <v>5</v>
      </c>
      <c r="AC1" s="7"/>
      <c r="AD1" s="7"/>
      <c r="AE1" s="7"/>
      <c r="AF1" s="7"/>
      <c r="AMG1" s="1"/>
      <c r="AMH1" s="1"/>
      <c r="AMI1" s="1"/>
      <c r="AMJ1" s="0"/>
    </row>
    <row r="2" s="5" customFormat="true" ht="12.8" hidden="false" customHeight="false" outlineLevel="0" collapsed="false">
      <c r="A2" s="5" t="s">
        <v>6</v>
      </c>
      <c r="B2" s="5" t="s">
        <v>7</v>
      </c>
      <c r="C2" s="9" t="n">
        <v>1</v>
      </c>
      <c r="D2" s="9" t="n">
        <v>2</v>
      </c>
      <c r="E2" s="9" t="n">
        <v>3</v>
      </c>
      <c r="F2" s="9" t="n">
        <v>4</v>
      </c>
      <c r="G2" s="9" t="n">
        <v>5</v>
      </c>
      <c r="H2" s="5" t="n">
        <v>1</v>
      </c>
      <c r="I2" s="5" t="n">
        <v>2</v>
      </c>
      <c r="J2" s="10" t="n">
        <v>3</v>
      </c>
      <c r="K2" s="10" t="n">
        <v>4</v>
      </c>
      <c r="L2" s="10" t="n">
        <v>5</v>
      </c>
      <c r="M2" s="11" t="n">
        <v>1</v>
      </c>
      <c r="N2" s="11" t="n">
        <v>2</v>
      </c>
      <c r="O2" s="11" t="n">
        <v>3</v>
      </c>
      <c r="P2" s="10" t="n">
        <v>4</v>
      </c>
      <c r="Q2" s="10" t="n">
        <v>5</v>
      </c>
      <c r="R2" s="5" t="n">
        <v>1</v>
      </c>
      <c r="S2" s="5" t="n">
        <v>2</v>
      </c>
      <c r="T2" s="5" t="n">
        <v>3</v>
      </c>
      <c r="U2" s="5" t="n">
        <v>4</v>
      </c>
      <c r="V2" s="5" t="n">
        <v>5</v>
      </c>
      <c r="W2" s="11" t="n">
        <v>1</v>
      </c>
      <c r="X2" s="11" t="n">
        <v>2</v>
      </c>
      <c r="Y2" s="11" t="n">
        <v>3</v>
      </c>
      <c r="Z2" s="11" t="n">
        <v>4</v>
      </c>
      <c r="AA2" s="11" t="n">
        <v>5</v>
      </c>
      <c r="AB2" s="5" t="n">
        <v>1</v>
      </c>
      <c r="AC2" s="5" t="n">
        <v>2</v>
      </c>
      <c r="AD2" s="5" t="n">
        <v>3</v>
      </c>
      <c r="AE2" s="5" t="n">
        <v>4</v>
      </c>
      <c r="AF2" s="5" t="n">
        <v>5</v>
      </c>
      <c r="AMG2" s="1"/>
      <c r="AMH2" s="1"/>
      <c r="AMI2" s="1"/>
      <c r="AMJ2" s="0"/>
    </row>
    <row r="3" s="5" customFormat="true" ht="12.8" hidden="false" customHeight="false" outlineLevel="0" collapsed="false">
      <c r="A3" s="1" t="n">
        <v>1992383</v>
      </c>
      <c r="B3" s="1" t="n">
        <f aca="false">(15*C3 + 25*D3 + 25*E3 + 15*F3 + 20*G3)</f>
        <v>60</v>
      </c>
      <c r="C3" s="2" t="n">
        <f aca="false">(0.5*H3 + 0.5*I3 + 0*J3 + 0*K3 + 0*L3)</f>
        <v>0</v>
      </c>
      <c r="D3" s="2" t="n">
        <f aca="false">(0.5*M3 + 0.25*N3 + 0.25*O3 + 0*P3 + 0*Q3)</f>
        <v>0</v>
      </c>
      <c r="E3" s="2" t="n">
        <f aca="false">(R3 + S3 + T3 + U3 + V3)/5</f>
        <v>1</v>
      </c>
      <c r="F3" s="2" t="n">
        <f aca="false">(W3 + X3 + Y3 +Z3 + AA3)/5</f>
        <v>1</v>
      </c>
      <c r="G3" s="2" t="n">
        <f aca="false">(AB3 + AC3 + AD3 +AE3 + AF3)/5</f>
        <v>1</v>
      </c>
      <c r="H3" s="1" t="n">
        <v>0</v>
      </c>
      <c r="I3" s="1" t="n">
        <v>0</v>
      </c>
      <c r="J3" s="3" t="n">
        <v>0</v>
      </c>
      <c r="K3" s="3" t="n">
        <v>0</v>
      </c>
      <c r="L3" s="3" t="n">
        <v>0</v>
      </c>
      <c r="M3" s="4" t="n">
        <v>0</v>
      </c>
      <c r="N3" s="4" t="n">
        <v>0</v>
      </c>
      <c r="O3" s="4" t="n">
        <v>0</v>
      </c>
      <c r="P3" s="3" t="n">
        <v>0</v>
      </c>
      <c r="Q3" s="3" t="n">
        <v>0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4" t="n">
        <v>1</v>
      </c>
      <c r="X3" s="4" t="n">
        <v>1</v>
      </c>
      <c r="Y3" s="4" t="n">
        <v>1</v>
      </c>
      <c r="Z3" s="4" t="n">
        <v>1</v>
      </c>
      <c r="AA3" s="4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MG3" s="1"/>
      <c r="AMH3" s="1"/>
      <c r="AMI3" s="1"/>
      <c r="AMJ3" s="0"/>
    </row>
    <row r="4" customFormat="false" ht="12.8" hidden="false" customHeight="false" outlineLevel="0" collapsed="false">
      <c r="A4" s="1" t="n">
        <v>1946659</v>
      </c>
      <c r="B4" s="1" t="n">
        <f aca="false">(15*C4 + 25*D4 + 25*E4 + 15*F4 + 20*G4)</f>
        <v>87.5</v>
      </c>
      <c r="C4" s="2" t="n">
        <f aca="false">(0.5*H4 + 0.5*I4 + 0*J4 + 0*K4 + 0*L4)</f>
        <v>1</v>
      </c>
      <c r="D4" s="2" t="n">
        <f aca="false">(0.5*M4 + 0.25*N4 + 0.25*O4 + 0*P4 + 0*Q4)</f>
        <v>0.5</v>
      </c>
      <c r="E4" s="2" t="n">
        <f aca="false">(R4 + S4 + T4 + U4 + V4)/5</f>
        <v>1</v>
      </c>
      <c r="F4" s="2" t="n">
        <f aca="false">(W4 + X4 + Y4 +Z4 + AA4)/5</f>
        <v>1</v>
      </c>
      <c r="G4" s="2" t="n">
        <f aca="false">(AB4 + AC4 + AD4 +AE4 + AF4)/5</f>
        <v>1</v>
      </c>
      <c r="H4" s="1" t="n">
        <v>1</v>
      </c>
      <c r="I4" s="1" t="n">
        <v>1</v>
      </c>
      <c r="J4" s="3" t="n">
        <v>0</v>
      </c>
      <c r="K4" s="3" t="n">
        <v>0</v>
      </c>
      <c r="L4" s="3" t="n">
        <v>0</v>
      </c>
      <c r="M4" s="4" t="n">
        <v>0</v>
      </c>
      <c r="N4" s="4" t="n">
        <v>1</v>
      </c>
      <c r="O4" s="4" t="n">
        <v>1</v>
      </c>
      <c r="P4" s="3" t="n">
        <v>0</v>
      </c>
      <c r="Q4" s="3" t="n">
        <v>0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4" t="n">
        <v>1</v>
      </c>
      <c r="X4" s="4" t="n">
        <v>1</v>
      </c>
      <c r="Y4" s="4" t="n">
        <v>1</v>
      </c>
      <c r="Z4" s="4" t="n">
        <v>1</v>
      </c>
      <c r="AA4" s="4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</row>
    <row r="5" customFormat="false" ht="12.8" hidden="false" customHeight="false" outlineLevel="0" collapsed="false">
      <c r="A5" s="1" t="n">
        <v>1810132</v>
      </c>
      <c r="B5" s="1" t="n">
        <f aca="false">(15*C5 + 25*D5 + 25*E5 + 15*F5 + 20*G5)</f>
        <v>31.25</v>
      </c>
      <c r="C5" s="2" t="n">
        <f aca="false">(0.5*H5 + 0.5*I5 + 0*J5 + 0*K5 + 0*L5)</f>
        <v>0.5</v>
      </c>
      <c r="D5" s="2" t="n">
        <f aca="false">(0.5*M5 + 0.25*N5 + 0.25*O5 + 0*P5 + 0*Q5)</f>
        <v>0.75</v>
      </c>
      <c r="E5" s="2" t="n">
        <f aca="false">(R5 + S5 + T5 + U5 + V5)/5</f>
        <v>0.2</v>
      </c>
      <c r="F5" s="2" t="n">
        <f aca="false">(W5 + X5 + Y5 +Z5 + AA5)/5</f>
        <v>0</v>
      </c>
      <c r="G5" s="2" t="n">
        <f aca="false">(AB5 + AC5 + AD5 +AE5 + AF5)/5</f>
        <v>0</v>
      </c>
      <c r="H5" s="1" t="n">
        <v>1</v>
      </c>
      <c r="I5" s="1" t="n">
        <v>0</v>
      </c>
      <c r="J5" s="3" t="n">
        <v>0</v>
      </c>
      <c r="K5" s="3" t="n">
        <v>0</v>
      </c>
      <c r="L5" s="3" t="n">
        <v>0</v>
      </c>
      <c r="M5" s="4" t="n">
        <v>0.5</v>
      </c>
      <c r="N5" s="4" t="n">
        <v>1</v>
      </c>
      <c r="O5" s="4" t="n">
        <v>1</v>
      </c>
      <c r="P5" s="3" t="n">
        <v>0</v>
      </c>
      <c r="Q5" s="3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</row>
    <row r="6" customFormat="false" ht="12.8" hidden="false" customHeight="false" outlineLevel="0" collapsed="false">
      <c r="A6" s="1" t="n">
        <v>2043199</v>
      </c>
      <c r="B6" s="1" t="n">
        <f aca="false">(15*C6 + 25*D6 + 25*E6 + 15*F6 + 20*G6)</f>
        <v>40.5</v>
      </c>
      <c r="C6" s="2" t="n">
        <f aca="false">(0.5*H6 + 0.5*I6 + 0*J6 + 0*K6 + 0*L6)</f>
        <v>1</v>
      </c>
      <c r="D6" s="2" t="n">
        <f aca="false">(0.5*M6 + 0.25*N6 + 0.25*O6 + 0*P6 + 0*Q6)</f>
        <v>0.5</v>
      </c>
      <c r="E6" s="2" t="n">
        <f aca="false">(R6 + S6 + T6 + U6 + V6)/5</f>
        <v>0.4</v>
      </c>
      <c r="F6" s="2" t="n">
        <f aca="false">(W6 + X6 + Y6 +Z6 + AA6)/5</f>
        <v>0.2</v>
      </c>
      <c r="G6" s="2" t="n">
        <f aca="false">(AB6 + AC6 + AD6 +AE6 + AF6)/5</f>
        <v>0</v>
      </c>
      <c r="H6" s="1" t="n">
        <v>1</v>
      </c>
      <c r="I6" s="1" t="n">
        <v>1</v>
      </c>
      <c r="J6" s="3" t="n">
        <v>0</v>
      </c>
      <c r="K6" s="3" t="n">
        <v>0</v>
      </c>
      <c r="L6" s="3" t="n">
        <v>0</v>
      </c>
      <c r="M6" s="4" t="n">
        <v>0</v>
      </c>
      <c r="N6" s="4" t="n">
        <v>1</v>
      </c>
      <c r="O6" s="4" t="n">
        <v>1</v>
      </c>
      <c r="P6" s="3" t="n">
        <v>0</v>
      </c>
      <c r="Q6" s="3" t="n">
        <v>0</v>
      </c>
      <c r="R6" s="1" t="n">
        <v>1</v>
      </c>
      <c r="S6" s="1" t="n">
        <v>1</v>
      </c>
      <c r="T6" s="1" t="n">
        <v>0</v>
      </c>
      <c r="U6" s="1" t="n">
        <v>0</v>
      </c>
      <c r="V6" s="1" t="n">
        <v>0</v>
      </c>
      <c r="W6" s="4" t="n">
        <v>0</v>
      </c>
      <c r="X6" s="4" t="n">
        <v>1</v>
      </c>
      <c r="Y6" s="4" t="n">
        <v>0</v>
      </c>
      <c r="Z6" s="4" t="n">
        <v>0</v>
      </c>
      <c r="AA6" s="4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</row>
    <row r="7" customFormat="false" ht="12.8" hidden="false" customHeight="false" outlineLevel="0" collapsed="false">
      <c r="A7" s="1" t="n">
        <v>1894899</v>
      </c>
      <c r="B7" s="1" t="n">
        <f aca="false">(15*C7 + 25*D7 + 25*E7 + 15*F7 + 20*G7)</f>
        <v>10</v>
      </c>
      <c r="C7" s="2" t="n">
        <f aca="false">(0.5*H7 + 0.5*I7 + 0*J7 + 0*K7 + 0*L7)</f>
        <v>0</v>
      </c>
      <c r="D7" s="2" t="n">
        <f aca="false">(0.5*M7 + 0.25*N7 + 0.25*O7 + 0*P7 + 0*Q7)</f>
        <v>0</v>
      </c>
      <c r="E7" s="2" t="n">
        <f aca="false">(R7 + S7 + T7 + U7 + V7)/5</f>
        <v>0.4</v>
      </c>
      <c r="F7" s="2" t="n">
        <f aca="false">(W7 + X7 + Y7 +Z7 + AA7)/5</f>
        <v>0</v>
      </c>
      <c r="G7" s="2" t="n">
        <f aca="false">(AB7 + AC7 + AD7 +AE7 + AF7)/5</f>
        <v>0</v>
      </c>
      <c r="H7" s="1" t="n">
        <v>0</v>
      </c>
      <c r="I7" s="1" t="n">
        <v>0</v>
      </c>
      <c r="J7" s="3" t="n">
        <v>0</v>
      </c>
      <c r="K7" s="3" t="n">
        <v>0</v>
      </c>
      <c r="L7" s="3" t="n">
        <v>0</v>
      </c>
      <c r="M7" s="4" t="n">
        <v>0</v>
      </c>
      <c r="N7" s="4" t="n">
        <v>0</v>
      </c>
      <c r="O7" s="4" t="n">
        <v>0</v>
      </c>
      <c r="P7" s="3" t="n">
        <v>0</v>
      </c>
      <c r="Q7" s="3" t="n">
        <v>0</v>
      </c>
      <c r="R7" s="1" t="n">
        <v>1</v>
      </c>
      <c r="S7" s="1" t="n">
        <v>1</v>
      </c>
      <c r="T7" s="1" t="n">
        <v>0</v>
      </c>
      <c r="U7" s="1" t="n">
        <v>0</v>
      </c>
      <c r="V7" s="1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</row>
    <row r="8" customFormat="false" ht="12.8" hidden="false" customHeight="false" outlineLevel="0" collapsed="false">
      <c r="A8" s="1" t="n">
        <v>2065850</v>
      </c>
      <c r="B8" s="1" t="n">
        <f aca="false">(15*C8 + 25*D8 + 25*E8 + 15*F8 + 20*G8)</f>
        <v>37.5</v>
      </c>
      <c r="C8" s="2" t="n">
        <f aca="false">(0.5*H8 + 0.5*I8 + 0*J8 + 0*K8 + 0*L8)</f>
        <v>1</v>
      </c>
      <c r="D8" s="2" t="n">
        <f aca="false">(0.5*M8 + 0.25*N8 + 0.25*O8 + 0*P8 + 0*Q8)</f>
        <v>0.5</v>
      </c>
      <c r="E8" s="2" t="n">
        <f aca="false">(R8 + S8 + T8 + U8 + V8)/5</f>
        <v>0.4</v>
      </c>
      <c r="F8" s="2" t="n">
        <f aca="false">(W8 + X8 + Y8 +Z8 + AA8)/5</f>
        <v>0</v>
      </c>
      <c r="G8" s="2" t="n">
        <f aca="false">(AB8 + AC8 + AD8 +AE8 + AF8)/5</f>
        <v>0</v>
      </c>
      <c r="H8" s="1" t="n">
        <v>1</v>
      </c>
      <c r="I8" s="1" t="n">
        <v>1</v>
      </c>
      <c r="J8" s="3" t="n">
        <v>0</v>
      </c>
      <c r="K8" s="3" t="n">
        <v>0</v>
      </c>
      <c r="L8" s="3" t="n">
        <v>0</v>
      </c>
      <c r="M8" s="4" t="n">
        <v>0</v>
      </c>
      <c r="N8" s="4" t="n">
        <v>1</v>
      </c>
      <c r="O8" s="4" t="n">
        <v>1</v>
      </c>
      <c r="P8" s="3" t="n">
        <v>0</v>
      </c>
      <c r="Q8" s="3" t="n">
        <v>0</v>
      </c>
      <c r="R8" s="1" t="n">
        <v>1</v>
      </c>
      <c r="S8" s="1" t="n">
        <v>1</v>
      </c>
      <c r="T8" s="1" t="n">
        <v>0</v>
      </c>
      <c r="U8" s="1" t="n">
        <v>0</v>
      </c>
      <c r="V8" s="1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</row>
    <row r="9" customFormat="false" ht="12.8" hidden="false" customHeight="false" outlineLevel="0" collapsed="false">
      <c r="A9" s="1" t="n">
        <v>2087336</v>
      </c>
      <c r="B9" s="1" t="n">
        <f aca="false">(15*C9 + 25*D9 + 25*E9 + 15*F9 + 20*G9)</f>
        <v>32.5</v>
      </c>
      <c r="C9" s="2" t="n">
        <f aca="false">(0.5*H9 + 0.5*I9 + 0*J9 + 0*K9 + 0*L9)</f>
        <v>0.5</v>
      </c>
      <c r="D9" s="2" t="n">
        <f aca="false">(0.5*M9 + 0.25*N9 + 0.25*O9 + 0*P9 + 0*Q9)</f>
        <v>1</v>
      </c>
      <c r="E9" s="2" t="n">
        <f aca="false">(R9 + S9 + T9 + U9 + V9)/5</f>
        <v>0</v>
      </c>
      <c r="F9" s="2" t="n">
        <f aca="false">(W9 + X9 + Y9 +Z9 + AA9)/5</f>
        <v>0</v>
      </c>
      <c r="G9" s="2" t="n">
        <f aca="false">(AB9 + AC9 + AD9 +AE9 + AF9)/5</f>
        <v>0</v>
      </c>
      <c r="H9" s="1" t="n">
        <v>1</v>
      </c>
      <c r="I9" s="1" t="n">
        <v>0</v>
      </c>
      <c r="J9" s="3" t="n">
        <v>0</v>
      </c>
      <c r="K9" s="3" t="n">
        <v>0</v>
      </c>
      <c r="L9" s="3" t="n">
        <v>0</v>
      </c>
      <c r="M9" s="4" t="n">
        <v>1</v>
      </c>
      <c r="N9" s="4" t="n">
        <v>1</v>
      </c>
      <c r="O9" s="4" t="n">
        <v>1</v>
      </c>
      <c r="P9" s="3" t="n">
        <v>0</v>
      </c>
      <c r="Q9" s="3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</row>
    <row r="10" customFormat="false" ht="12.8" hidden="false" customHeight="false" outlineLevel="0" collapsed="false">
      <c r="A10" s="1" t="n">
        <v>2063098</v>
      </c>
      <c r="B10" s="1" t="n">
        <f aca="false">(15*C10 + 25*D10 + 25*E10 + 15*F10 + 20*G10)</f>
        <v>87.5</v>
      </c>
      <c r="C10" s="2" t="n">
        <f aca="false">(0.5*H10 + 0.5*I10 + 0*J10 + 0*K10 + 0*L10)</f>
        <v>1</v>
      </c>
      <c r="D10" s="2" t="n">
        <f aca="false">(0.5*M10 + 0.25*N10 + 0.25*O10 + 0*P10 + 0*Q10)</f>
        <v>0.5</v>
      </c>
      <c r="E10" s="2" t="n">
        <f aca="false">(R10 + S10 + T10 + U10 + V10)/5</f>
        <v>1</v>
      </c>
      <c r="F10" s="2" t="n">
        <f aca="false">(W10 + X10 + Y10 +Z10 + AA10)/5</f>
        <v>1</v>
      </c>
      <c r="G10" s="2" t="n">
        <f aca="false">(AB10 + AC10 + AD10 +AE10 + AF10)/5</f>
        <v>1</v>
      </c>
      <c r="H10" s="1" t="n">
        <v>1</v>
      </c>
      <c r="I10" s="1" t="n">
        <v>1</v>
      </c>
      <c r="J10" s="3" t="n">
        <v>0</v>
      </c>
      <c r="K10" s="3" t="n">
        <v>0</v>
      </c>
      <c r="L10" s="3" t="n">
        <v>0</v>
      </c>
      <c r="M10" s="4" t="n">
        <v>0</v>
      </c>
      <c r="N10" s="4" t="n">
        <v>1</v>
      </c>
      <c r="O10" s="4" t="n">
        <v>1</v>
      </c>
      <c r="P10" s="3" t="n">
        <v>0</v>
      </c>
      <c r="Q10" s="3" t="n">
        <v>0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4" t="n">
        <v>1</v>
      </c>
      <c r="X10" s="4" t="n">
        <v>1</v>
      </c>
      <c r="Y10" s="4" t="n">
        <v>1</v>
      </c>
      <c r="Z10" s="4" t="n">
        <v>1</v>
      </c>
      <c r="AA10" s="4" t="n">
        <v>1</v>
      </c>
      <c r="AB10" s="1" t="n">
        <v>1</v>
      </c>
      <c r="AC10" s="1" t="n">
        <v>1</v>
      </c>
      <c r="AD10" s="1" t="n">
        <v>1</v>
      </c>
      <c r="AE10" s="1" t="n">
        <v>1</v>
      </c>
      <c r="AF10" s="1" t="n">
        <v>1</v>
      </c>
    </row>
    <row r="11" customFormat="false" ht="12.8" hidden="false" customHeight="false" outlineLevel="0" collapsed="false">
      <c r="A11" s="1" t="n">
        <v>2085060</v>
      </c>
      <c r="B11" s="1" t="n">
        <f aca="false">(15*C11 + 25*D11 + 25*E11 + 15*F11 + 20*G11)</f>
        <v>75.5</v>
      </c>
      <c r="C11" s="2" t="n">
        <f aca="false">(0.5*H11 + 0.5*I11 + 0*J11 + 0*K11 + 0*L11)</f>
        <v>1</v>
      </c>
      <c r="D11" s="2" t="n">
        <f aca="false">(0.5*M11 + 0.25*N11 + 0.25*O11 + 0*P11 + 0*Q11)</f>
        <v>0.5</v>
      </c>
      <c r="E11" s="2" t="n">
        <f aca="false">(R11 + S11 + T11 + U11 + V11)/5</f>
        <v>1</v>
      </c>
      <c r="F11" s="2" t="n">
        <f aca="false">(W11 + X11 + Y11 +Z11 + AA11)/5</f>
        <v>0.2</v>
      </c>
      <c r="G11" s="2" t="n">
        <f aca="false">(AB11 + AC11 + AD11 +AE11 + AF11)/5</f>
        <v>1</v>
      </c>
      <c r="H11" s="1" t="n">
        <v>1</v>
      </c>
      <c r="I11" s="1" t="n">
        <v>1</v>
      </c>
      <c r="J11" s="3" t="n">
        <v>0</v>
      </c>
      <c r="K11" s="3" t="n">
        <v>0</v>
      </c>
      <c r="L11" s="3" t="n">
        <v>0</v>
      </c>
      <c r="M11" s="4" t="n">
        <v>0</v>
      </c>
      <c r="N11" s="4" t="n">
        <v>1</v>
      </c>
      <c r="O11" s="4" t="n">
        <v>1</v>
      </c>
      <c r="P11" s="3" t="n">
        <v>0</v>
      </c>
      <c r="Q11" s="3" t="n">
        <v>0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4" t="n">
        <v>0</v>
      </c>
      <c r="X11" s="4" t="n">
        <v>0</v>
      </c>
      <c r="Y11" s="4" t="n">
        <v>1</v>
      </c>
      <c r="Z11" s="4" t="n">
        <v>0</v>
      </c>
      <c r="AA11" s="4" t="n">
        <v>0</v>
      </c>
      <c r="AB11" s="1" t="n">
        <v>1</v>
      </c>
      <c r="AC11" s="1" t="n">
        <v>1</v>
      </c>
      <c r="AD11" s="1" t="n">
        <v>1</v>
      </c>
      <c r="AE11" s="1" t="n">
        <v>1</v>
      </c>
      <c r="AF11" s="1" t="n">
        <v>1</v>
      </c>
    </row>
    <row r="12" customFormat="false" ht="12.8" hidden="false" customHeight="false" outlineLevel="0" collapsed="false">
      <c r="A12" s="1" t="n">
        <v>1996623</v>
      </c>
      <c r="B12" s="1" t="n">
        <f aca="false">(15*C12 + 25*D12 + 25*E12 + 15*F12 + 20*G12)</f>
        <v>20</v>
      </c>
      <c r="C12" s="2" t="n">
        <f aca="false">(0.5*H12 + 0.5*I12 + 0*J12 + 0*K12 + 0*L12)</f>
        <v>0.5</v>
      </c>
      <c r="D12" s="2" t="n">
        <f aca="false">(0.5*M12 + 0.25*N12 + 0.25*O12 + 0*P12 + 0*Q12)</f>
        <v>0.5</v>
      </c>
      <c r="E12" s="2" t="n">
        <f aca="false">(R12 + S12 + T12 + U12 + V12)/5</f>
        <v>0</v>
      </c>
      <c r="F12" s="2" t="n">
        <f aca="false">(W12 + X12 + Y12 +Z12 + AA12)/5</f>
        <v>0</v>
      </c>
      <c r="G12" s="2" t="n">
        <f aca="false">(AB12 + AC12 + AD12 +AE12 + AF12)/5</f>
        <v>0</v>
      </c>
      <c r="H12" s="1" t="n">
        <v>1</v>
      </c>
      <c r="I12" s="1" t="n">
        <v>0</v>
      </c>
      <c r="J12" s="3" t="n">
        <v>0</v>
      </c>
      <c r="K12" s="3" t="n">
        <v>0</v>
      </c>
      <c r="L12" s="3" t="n">
        <v>0</v>
      </c>
      <c r="M12" s="4" t="n">
        <v>0</v>
      </c>
      <c r="N12" s="4" t="n">
        <v>1</v>
      </c>
      <c r="O12" s="4" t="n">
        <v>1</v>
      </c>
      <c r="P12" s="3" t="n">
        <v>0</v>
      </c>
      <c r="Q12" s="3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</row>
    <row r="13" customFormat="false" ht="12.8" hidden="false" customHeight="false" outlineLevel="0" collapsed="false">
      <c r="A13" s="1" t="n">
        <v>1934929</v>
      </c>
      <c r="B13" s="1" t="n">
        <f aca="false">(15*C13 + 25*D13 + 25*E13 + 15*F13 + 20*G13)</f>
        <v>20</v>
      </c>
      <c r="C13" s="2" t="n">
        <f aca="false">(0.5*H13 + 0.5*I13 + 0*J13 + 0*K13 + 0*L13)</f>
        <v>1</v>
      </c>
      <c r="D13" s="2" t="n">
        <f aca="false">(0.5*M13 + 0.25*N13 + 0.25*O13 + 0*P13 + 0*Q13)</f>
        <v>0</v>
      </c>
      <c r="E13" s="2" t="n">
        <f aca="false">(R13 + S13 + T13 + U13 + V13)/5</f>
        <v>0.2</v>
      </c>
      <c r="F13" s="2" t="n">
        <f aca="false">(W13 + X13 + Y13 +Z13 + AA13)/5</f>
        <v>0</v>
      </c>
      <c r="G13" s="2" t="n">
        <f aca="false">(AB13 + AC13 + AD13 +AE13 + AF13)/5</f>
        <v>0</v>
      </c>
      <c r="H13" s="1" t="n">
        <v>1</v>
      </c>
      <c r="I13" s="1" t="n">
        <v>1</v>
      </c>
      <c r="J13" s="3" t="n">
        <v>0</v>
      </c>
      <c r="K13" s="3" t="n">
        <v>0</v>
      </c>
      <c r="L13" s="3" t="n">
        <v>0</v>
      </c>
      <c r="M13" s="11" t="n">
        <v>0</v>
      </c>
      <c r="N13" s="11" t="n">
        <v>0</v>
      </c>
      <c r="O13" s="11" t="n">
        <v>0</v>
      </c>
      <c r="P13" s="3" t="n">
        <v>0</v>
      </c>
      <c r="Q13" s="3" t="n">
        <v>0</v>
      </c>
      <c r="R13" s="1" t="n">
        <v>1</v>
      </c>
      <c r="S13" s="1" t="n">
        <v>0</v>
      </c>
      <c r="T13" s="1" t="n">
        <v>0</v>
      </c>
      <c r="U13" s="1" t="n">
        <v>0</v>
      </c>
      <c r="V13" s="1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</row>
    <row r="14" customFormat="false" ht="12.8" hidden="false" customHeight="false" outlineLevel="0" collapsed="false">
      <c r="A14" s="1" t="n">
        <v>2060444</v>
      </c>
      <c r="B14" s="1" t="n">
        <f aca="false">(15*C14 + 25*D14 + 25*E14 + 15*F14 + 20*G14)</f>
        <v>0</v>
      </c>
      <c r="C14" s="2" t="n">
        <f aca="false">(0.5*H14 + 0.5*I14 + 0*J14 + 0*K14 + 0*L14)</f>
        <v>0</v>
      </c>
      <c r="D14" s="2" t="n">
        <f aca="false">(0.5*M14 + 0.25*N14 + 0.25*O14 + 0*P14 + 0*Q14)</f>
        <v>0</v>
      </c>
      <c r="E14" s="2" t="n">
        <f aca="false">(R14 + S14 + T14 + U14 + V14)/5</f>
        <v>0</v>
      </c>
      <c r="F14" s="2" t="n">
        <f aca="false">(W14 + X14 + Y14 +Z14 + AA14)/5</f>
        <v>0</v>
      </c>
      <c r="G14" s="2" t="n">
        <f aca="false">(AB14 + AC14 + AD14 +AE14 + AF14)/5</f>
        <v>0</v>
      </c>
      <c r="H14" s="1" t="n">
        <v>0</v>
      </c>
      <c r="I14" s="1" t="n">
        <v>0</v>
      </c>
      <c r="J14" s="3" t="n">
        <v>0</v>
      </c>
      <c r="K14" s="3" t="n">
        <v>0</v>
      </c>
      <c r="L14" s="3" t="n">
        <v>0</v>
      </c>
      <c r="M14" s="11" t="n">
        <v>0</v>
      </c>
      <c r="N14" s="11" t="n">
        <v>0</v>
      </c>
      <c r="O14" s="11" t="n">
        <v>0</v>
      </c>
      <c r="P14" s="3" t="n">
        <v>0</v>
      </c>
      <c r="Q14" s="3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</row>
    <row r="15" customFormat="false" ht="12.8" hidden="false" customHeight="false" outlineLevel="0" collapsed="false">
      <c r="A15" s="1" t="n">
        <v>2084918</v>
      </c>
      <c r="B15" s="1" t="n">
        <f aca="false">(15*C15 + 25*D15 + 25*E15 + 15*F15 + 20*G15)</f>
        <v>87.5</v>
      </c>
      <c r="C15" s="2" t="n">
        <f aca="false">(0.5*H15 + 0.5*I15 + 0*J15 + 0*K15 + 0*L15)</f>
        <v>1</v>
      </c>
      <c r="D15" s="2" t="n">
        <f aca="false">(0.5*M15 + 0.25*N15 + 0.25*O15 + 0*P15 + 0*Q15)</f>
        <v>0.5</v>
      </c>
      <c r="E15" s="2" t="n">
        <f aca="false">(R15 + S15 + T15 + U15 + V15)/5</f>
        <v>1</v>
      </c>
      <c r="F15" s="2" t="n">
        <f aca="false">(W15 + X15 + Y15 +Z15 + AA15)/5</f>
        <v>1</v>
      </c>
      <c r="G15" s="2" t="n">
        <f aca="false">(AB15 + AC15 + AD15 +AE15 + AF15)/5</f>
        <v>1</v>
      </c>
      <c r="H15" s="1" t="n">
        <v>1</v>
      </c>
      <c r="I15" s="1" t="n">
        <v>1</v>
      </c>
      <c r="J15" s="3" t="n">
        <v>0</v>
      </c>
      <c r="K15" s="3" t="n">
        <v>0</v>
      </c>
      <c r="L15" s="3" t="n">
        <v>0</v>
      </c>
      <c r="M15" s="4" t="n">
        <v>0</v>
      </c>
      <c r="N15" s="4" t="n">
        <v>1</v>
      </c>
      <c r="O15" s="4" t="n">
        <v>1</v>
      </c>
      <c r="P15" s="3" t="n">
        <v>0</v>
      </c>
      <c r="Q15" s="3" t="n">
        <v>0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4" t="n">
        <v>1</v>
      </c>
      <c r="X15" s="4" t="n">
        <v>1</v>
      </c>
      <c r="Y15" s="4" t="n">
        <v>1</v>
      </c>
      <c r="Z15" s="4" t="n">
        <v>1</v>
      </c>
      <c r="AA15" s="4" t="n">
        <v>1</v>
      </c>
      <c r="AB15" s="1" t="n">
        <v>1</v>
      </c>
      <c r="AC15" s="1" t="n">
        <v>1</v>
      </c>
      <c r="AD15" s="1" t="n">
        <v>1</v>
      </c>
      <c r="AE15" s="1" t="n">
        <v>1</v>
      </c>
      <c r="AF15" s="1" t="n">
        <v>1</v>
      </c>
    </row>
    <row r="16" customFormat="false" ht="12.8" hidden="false" customHeight="false" outlineLevel="0" collapsed="false">
      <c r="A16" s="1" t="n">
        <v>2048500</v>
      </c>
      <c r="B16" s="1" t="n">
        <f aca="false">(15*C16 + 25*D16 + 25*E16 + 15*F16 + 20*G16)</f>
        <v>75.5</v>
      </c>
      <c r="C16" s="2" t="n">
        <f aca="false">(0.5*H16 + 0.5*I16 + 0*J16 + 0*K16 + 0*L16)</f>
        <v>1</v>
      </c>
      <c r="D16" s="2" t="n">
        <f aca="false">(0.5*M16 + 0.25*N16 + 0.25*O16 + 0*P16 + 0*Q16)</f>
        <v>0.5</v>
      </c>
      <c r="E16" s="2" t="n">
        <f aca="false">(R16 + S16 + T16 + U16 + V16)/5</f>
        <v>1</v>
      </c>
      <c r="F16" s="2" t="n">
        <f aca="false">(W16 + X16 + Y16 +Z16 + AA16)/5</f>
        <v>1</v>
      </c>
      <c r="G16" s="2" t="n">
        <f aca="false">(AB16 + AC16 + AD16 +AE16 + AF16)/5</f>
        <v>0.4</v>
      </c>
      <c r="H16" s="1" t="n">
        <v>1</v>
      </c>
      <c r="I16" s="1" t="n">
        <v>1</v>
      </c>
      <c r="J16" s="3" t="n">
        <v>0</v>
      </c>
      <c r="K16" s="3" t="n">
        <v>0</v>
      </c>
      <c r="L16" s="3" t="n">
        <v>0</v>
      </c>
      <c r="M16" s="4" t="n">
        <v>0</v>
      </c>
      <c r="N16" s="4" t="n">
        <v>1</v>
      </c>
      <c r="O16" s="4" t="n">
        <v>1</v>
      </c>
      <c r="P16" s="3" t="n">
        <v>0</v>
      </c>
      <c r="Q16" s="3" t="n">
        <v>0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4" t="n">
        <v>1</v>
      </c>
      <c r="X16" s="4" t="n">
        <v>1</v>
      </c>
      <c r="Y16" s="4" t="n">
        <v>1</v>
      </c>
      <c r="Z16" s="4" t="n">
        <v>1</v>
      </c>
      <c r="AA16" s="4" t="n">
        <v>1</v>
      </c>
      <c r="AB16" s="1" t="n">
        <v>0</v>
      </c>
      <c r="AC16" s="1" t="n">
        <v>1</v>
      </c>
      <c r="AD16" s="1" t="n">
        <v>0</v>
      </c>
      <c r="AE16" s="1" t="n">
        <v>0</v>
      </c>
      <c r="AF16" s="1" t="n">
        <v>1</v>
      </c>
    </row>
    <row r="17" customFormat="false" ht="12.8" hidden="false" customHeight="false" outlineLevel="0" collapsed="false">
      <c r="A17" s="1" t="n">
        <v>2053287</v>
      </c>
      <c r="B17" s="1" t="n">
        <f aca="false">(15*C17 + 25*D17 + 25*E17 + 15*F17 + 20*G17)</f>
        <v>58</v>
      </c>
      <c r="C17" s="2" t="n">
        <f aca="false">(0.5*H17 + 0.5*I17 + 0*J17 + 0*K17 + 0*L17)</f>
        <v>1</v>
      </c>
      <c r="D17" s="2" t="n">
        <f aca="false">(0.5*M17 + 0.25*N17 + 0.25*O17 + 0*P17 + 0*Q17)</f>
        <v>0</v>
      </c>
      <c r="E17" s="2" t="n">
        <f aca="false">(R17 + S17 + T17 + U17 + V17)/5</f>
        <v>0.8</v>
      </c>
      <c r="F17" s="2" t="n">
        <f aca="false">(W17 + X17 + Y17 +Z17 + AA17)/5</f>
        <v>0.2</v>
      </c>
      <c r="G17" s="2" t="n">
        <f aca="false">(AB17 + AC17 + AD17 +AE17 + AF17)/5</f>
        <v>1</v>
      </c>
      <c r="H17" s="1" t="n">
        <v>1</v>
      </c>
      <c r="I17" s="1" t="n">
        <v>1</v>
      </c>
      <c r="J17" s="3" t="n">
        <v>0</v>
      </c>
      <c r="K17" s="3" t="n">
        <v>0</v>
      </c>
      <c r="L17" s="3" t="n">
        <v>0</v>
      </c>
      <c r="M17" s="4" t="n">
        <v>0</v>
      </c>
      <c r="N17" s="4" t="n">
        <v>0</v>
      </c>
      <c r="O17" s="4" t="n">
        <v>0</v>
      </c>
      <c r="P17" s="3" t="n">
        <v>0</v>
      </c>
      <c r="Q17" s="3" t="n">
        <v>0</v>
      </c>
      <c r="R17" s="1" t="n">
        <v>1</v>
      </c>
      <c r="S17" s="1" t="n">
        <v>1</v>
      </c>
      <c r="T17" s="1" t="n">
        <v>0</v>
      </c>
      <c r="U17" s="1" t="n">
        <v>1</v>
      </c>
      <c r="V17" s="1" t="n">
        <v>1</v>
      </c>
      <c r="W17" s="4" t="n">
        <v>0</v>
      </c>
      <c r="X17" s="4" t="n">
        <v>0</v>
      </c>
      <c r="Y17" s="4" t="n">
        <v>1</v>
      </c>
      <c r="Z17" s="4" t="n">
        <v>0</v>
      </c>
      <c r="AA17" s="4" t="n">
        <v>0</v>
      </c>
      <c r="AB17" s="1" t="n">
        <v>1</v>
      </c>
      <c r="AC17" s="1" t="n">
        <v>1</v>
      </c>
      <c r="AD17" s="1" t="n">
        <v>1</v>
      </c>
      <c r="AE17" s="1" t="n">
        <v>1</v>
      </c>
      <c r="AF17" s="1" t="n">
        <v>1</v>
      </c>
    </row>
    <row r="18" customFormat="false" ht="12.8" hidden="false" customHeight="false" outlineLevel="0" collapsed="false">
      <c r="A18" s="1" t="n">
        <v>2070317</v>
      </c>
      <c r="B18" s="1" t="n">
        <f aca="false">(15*C18 + 25*D18 + 25*E18 + 15*F18 + 20*G18)</f>
        <v>81.75</v>
      </c>
      <c r="C18" s="2" t="n">
        <f aca="false">(0.5*H18 + 0.5*I18 + 0*J18 + 0*K18 + 0*L18)</f>
        <v>1</v>
      </c>
      <c r="D18" s="2" t="n">
        <f aca="false">(0.5*M18 + 0.25*N18 + 0.25*O18 + 0*P18 + 0*Q18)</f>
        <v>0.75</v>
      </c>
      <c r="E18" s="2" t="n">
        <f aca="false">(R18 + S18 + T18 + U18 + V18)/5</f>
        <v>1</v>
      </c>
      <c r="F18" s="2" t="n">
        <f aca="false">(W18 + X18 + Y18 +Z18 + AA18)/5</f>
        <v>1</v>
      </c>
      <c r="G18" s="2" t="n">
        <f aca="false">(AB18 + AC18 + AD18 +AE18 + AF18)/5</f>
        <v>0.4</v>
      </c>
      <c r="H18" s="1" t="n">
        <v>1</v>
      </c>
      <c r="I18" s="1" t="n">
        <v>1</v>
      </c>
      <c r="J18" s="3" t="n">
        <v>0</v>
      </c>
      <c r="K18" s="3" t="n">
        <v>0</v>
      </c>
      <c r="L18" s="3" t="n">
        <v>0</v>
      </c>
      <c r="M18" s="4" t="n">
        <v>1</v>
      </c>
      <c r="N18" s="4" t="n">
        <v>1</v>
      </c>
      <c r="O18" s="4" t="n">
        <v>0</v>
      </c>
      <c r="P18" s="3" t="n">
        <v>0</v>
      </c>
      <c r="Q18" s="3" t="n">
        <v>0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1" t="n">
        <v>0</v>
      </c>
      <c r="AC18" s="1" t="n">
        <v>1</v>
      </c>
      <c r="AD18" s="1" t="n">
        <v>0</v>
      </c>
      <c r="AE18" s="1" t="n">
        <v>0</v>
      </c>
      <c r="AF18" s="1" t="n">
        <v>1</v>
      </c>
    </row>
    <row r="19" customFormat="false" ht="12.8" hidden="false" customHeight="false" outlineLevel="0" collapsed="false">
      <c r="A19" s="1" t="n">
        <v>2054772</v>
      </c>
      <c r="B19" s="1" t="n">
        <f aca="false">(15*C19 + 25*D19 + 25*E19 + 15*F19 + 20*G19)</f>
        <v>81.25</v>
      </c>
      <c r="C19" s="2" t="n">
        <f aca="false">(0.5*H19 + 0.5*I19 + 0*J19 + 0*K19 + 0*L19)</f>
        <v>1</v>
      </c>
      <c r="D19" s="2" t="n">
        <f aca="false">(0.5*M19 + 0.25*N19 + 0.25*O19 + 0*P19 + 0*Q19)</f>
        <v>0.25</v>
      </c>
      <c r="E19" s="2" t="n">
        <f aca="false">(R19 + S19 + T19 + U19 + V19)/5</f>
        <v>1</v>
      </c>
      <c r="F19" s="2" t="n">
        <f aca="false">(W19 + X19 + Y19 +Z19 + AA19)/5</f>
        <v>1</v>
      </c>
      <c r="G19" s="2" t="n">
        <f aca="false">(AB19 + AC19 + AD19 +AE19 + AF19)/5</f>
        <v>1</v>
      </c>
      <c r="H19" s="1" t="n">
        <v>1</v>
      </c>
      <c r="I19" s="1" t="n">
        <v>1</v>
      </c>
      <c r="J19" s="3" t="n">
        <v>0</v>
      </c>
      <c r="K19" s="3" t="n">
        <v>0</v>
      </c>
      <c r="L19" s="3" t="n">
        <v>0</v>
      </c>
      <c r="M19" s="4" t="n">
        <v>0</v>
      </c>
      <c r="N19" s="4" t="n">
        <v>1</v>
      </c>
      <c r="O19" s="4" t="n">
        <v>0</v>
      </c>
      <c r="P19" s="3" t="n">
        <v>0</v>
      </c>
      <c r="Q19" s="3" t="n">
        <v>0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4" t="n">
        <v>1</v>
      </c>
      <c r="X19" s="4" t="n">
        <v>1</v>
      </c>
      <c r="Y19" s="4" t="n">
        <v>1</v>
      </c>
      <c r="Z19" s="4" t="n">
        <v>1</v>
      </c>
      <c r="AA19" s="4" t="n">
        <v>1</v>
      </c>
      <c r="AB19" s="1" t="n">
        <v>1</v>
      </c>
      <c r="AC19" s="1" t="n">
        <v>1</v>
      </c>
      <c r="AD19" s="1" t="n">
        <v>1</v>
      </c>
      <c r="AE19" s="1" t="n">
        <v>1</v>
      </c>
      <c r="AF19" s="1" t="n">
        <v>1</v>
      </c>
    </row>
    <row r="20" customFormat="false" ht="12.8" hidden="false" customHeight="false" outlineLevel="0" collapsed="false">
      <c r="A20" s="1" t="n">
        <v>2080998</v>
      </c>
      <c r="B20" s="1" t="n">
        <f aca="false">(15*C20 + 25*D20 + 25*E20 + 15*F20 + 20*G20)</f>
        <v>20</v>
      </c>
      <c r="C20" s="2" t="n">
        <f aca="false">(0.5*H20 + 0.5*I20 + 0*J20 + 0*K20 + 0*L20)</f>
        <v>1</v>
      </c>
      <c r="D20" s="2" t="n">
        <f aca="false">(0.5*M20 + 0.25*N20 + 0.25*O20 + 0*P20 + 0*Q20)</f>
        <v>0</v>
      </c>
      <c r="E20" s="2" t="n">
        <f aca="false">(R20 + S20 + T20 + U20 + V20)/5</f>
        <v>0.2</v>
      </c>
      <c r="F20" s="2" t="n">
        <f aca="false">(W20 + X20 + Y20 +Z20 + AA20)/5</f>
        <v>0</v>
      </c>
      <c r="G20" s="2" t="n">
        <f aca="false">(AB20 + AC20 + AD20 +AE20 + AF20)/5</f>
        <v>0</v>
      </c>
      <c r="H20" s="1" t="n">
        <v>1</v>
      </c>
      <c r="I20" s="1" t="n">
        <v>1</v>
      </c>
      <c r="J20" s="3" t="n">
        <v>0</v>
      </c>
      <c r="K20" s="3" t="n">
        <v>0</v>
      </c>
      <c r="L20" s="3" t="n">
        <v>0</v>
      </c>
      <c r="M20" s="11" t="n">
        <v>0</v>
      </c>
      <c r="N20" s="11" t="n">
        <v>0</v>
      </c>
      <c r="O20" s="11" t="n">
        <v>0</v>
      </c>
      <c r="P20" s="3" t="n">
        <v>0</v>
      </c>
      <c r="Q20" s="3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</row>
    <row r="21" customFormat="false" ht="12.8" hidden="false" customHeight="false" outlineLevel="0" collapsed="false">
      <c r="A21" s="1" t="n">
        <v>2054535</v>
      </c>
      <c r="B21" s="1" t="n">
        <f aca="false">(15*C21 + 25*D21 + 25*E21 + 15*F21 + 20*G21)</f>
        <v>0</v>
      </c>
      <c r="C21" s="2" t="n">
        <f aca="false">(0.5*H21 + 0.5*I21 + 0*J21 + 0*K21 + 0*L21)</f>
        <v>0</v>
      </c>
      <c r="D21" s="2" t="n">
        <f aca="false">(0.5*M21 + 0.25*N21 + 0.25*O21 + 0*P21 + 0*Q21)</f>
        <v>0</v>
      </c>
      <c r="E21" s="2" t="n">
        <f aca="false">(R21 + S21 + T21 + U21 + V21)/5</f>
        <v>0</v>
      </c>
      <c r="F21" s="2" t="n">
        <f aca="false">(W21 + X21 + Y21 +Z21 + AA21)/5</f>
        <v>0</v>
      </c>
      <c r="G21" s="2" t="n">
        <f aca="false">(AB21 + AC21 + AD21 +AE21 + AF21)/5</f>
        <v>0</v>
      </c>
      <c r="H21" s="1" t="n">
        <v>0</v>
      </c>
      <c r="I21" s="1" t="n">
        <v>0</v>
      </c>
      <c r="J21" s="3" t="n">
        <v>0</v>
      </c>
      <c r="K21" s="3" t="n">
        <v>0</v>
      </c>
      <c r="L21" s="3" t="n">
        <v>0</v>
      </c>
      <c r="M21" s="11" t="n">
        <v>0</v>
      </c>
      <c r="N21" s="11" t="n">
        <v>0</v>
      </c>
      <c r="O21" s="11" t="n">
        <v>0</v>
      </c>
      <c r="P21" s="3" t="n">
        <v>0</v>
      </c>
      <c r="Q21" s="3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</row>
    <row r="22" customFormat="false" ht="12.8" hidden="false" customHeight="false" outlineLevel="0" collapsed="false">
      <c r="A22" s="1" t="n">
        <v>2003980</v>
      </c>
      <c r="B22" s="1" t="n">
        <f aca="false">(15*C22 + 25*D22 + 25*E22 + 15*F22 + 20*G22)</f>
        <v>33.75</v>
      </c>
      <c r="C22" s="2" t="n">
        <f aca="false">(0.5*H22 + 0.5*I22 + 0*J22 + 0*K22 + 0*L22)</f>
        <v>1</v>
      </c>
      <c r="D22" s="2" t="n">
        <f aca="false">(0.5*M22 + 0.25*N22 + 0.25*O22 + 0*P22 + 0*Q22)</f>
        <v>0.75</v>
      </c>
      <c r="E22" s="2" t="n">
        <f aca="false">(R22 + S22 + T22 + U22 + V22)/5</f>
        <v>0</v>
      </c>
      <c r="F22" s="2" t="n">
        <f aca="false">(W22 + X22 + Y22 +Z22 + AA22)/5</f>
        <v>0</v>
      </c>
      <c r="G22" s="2" t="n">
        <f aca="false">(AB22 + AC22 + AD22 +AE22 + AF22)/5</f>
        <v>0</v>
      </c>
      <c r="H22" s="1" t="n">
        <v>1</v>
      </c>
      <c r="I22" s="1" t="n">
        <v>1</v>
      </c>
      <c r="J22" s="3" t="n">
        <v>0</v>
      </c>
      <c r="K22" s="3" t="n">
        <v>0</v>
      </c>
      <c r="L22" s="3" t="n">
        <v>0</v>
      </c>
      <c r="M22" s="4" t="n">
        <v>0.5</v>
      </c>
      <c r="N22" s="4" t="n">
        <v>1</v>
      </c>
      <c r="O22" s="4" t="n">
        <v>1</v>
      </c>
      <c r="P22" s="3" t="n">
        <v>0</v>
      </c>
      <c r="Q22" s="3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</row>
    <row r="23" customFormat="false" ht="12.8" hidden="false" customHeight="false" outlineLevel="0" collapsed="false">
      <c r="A23" s="1" t="n">
        <v>2087310</v>
      </c>
      <c r="B23" s="1" t="n">
        <f aca="false">(15*C23 + 25*D23 + 25*E23 + 15*F23 + 20*G23)</f>
        <v>37.5</v>
      </c>
      <c r="C23" s="2" t="n">
        <f aca="false">(0.5*H23 + 0.5*I23 + 0*J23 + 0*K23 + 0*L23)</f>
        <v>1</v>
      </c>
      <c r="D23" s="2" t="n">
        <f aca="false">(0.5*M23 + 0.25*N23 + 0.25*O23 + 0*P23 + 0*Q23)</f>
        <v>0.5</v>
      </c>
      <c r="E23" s="2" t="n">
        <f aca="false">(R23 + S23 + T23 + U23 + V23)/5</f>
        <v>0.4</v>
      </c>
      <c r="F23" s="2" t="n">
        <f aca="false">(W23 + X23 + Y23 +Z23 + AA23)/5</f>
        <v>0</v>
      </c>
      <c r="G23" s="2" t="n">
        <f aca="false">(AB23 + AC23 + AD23 +AE23 + AF23)/5</f>
        <v>0</v>
      </c>
      <c r="H23" s="1" t="n">
        <v>1</v>
      </c>
      <c r="I23" s="1" t="n">
        <v>1</v>
      </c>
      <c r="J23" s="3" t="n">
        <v>0</v>
      </c>
      <c r="K23" s="3" t="n">
        <v>0</v>
      </c>
      <c r="L23" s="3" t="n">
        <v>0</v>
      </c>
      <c r="M23" s="4" t="n">
        <v>0</v>
      </c>
      <c r="N23" s="4" t="n">
        <v>1</v>
      </c>
      <c r="O23" s="4" t="n">
        <v>1</v>
      </c>
      <c r="P23" s="3" t="n">
        <v>0</v>
      </c>
      <c r="Q23" s="3" t="n">
        <v>0</v>
      </c>
      <c r="R23" s="1" t="n">
        <v>1</v>
      </c>
      <c r="S23" s="1" t="n">
        <v>1</v>
      </c>
      <c r="T23" s="1" t="n">
        <v>0</v>
      </c>
      <c r="U23" s="1" t="n">
        <v>0</v>
      </c>
      <c r="V23" s="1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</row>
    <row r="24" customFormat="false" ht="12.8" hidden="false" customHeight="false" outlineLevel="0" collapsed="false">
      <c r="A24" s="1" t="n">
        <v>2087354</v>
      </c>
      <c r="B24" s="1" t="n">
        <f aca="false">(15*C24 + 25*D24 + 25*E24 + 15*F24 + 20*G24)</f>
        <v>76.5</v>
      </c>
      <c r="C24" s="2" t="n">
        <f aca="false">(0.5*H24 + 0.5*I24 + 0*J24 + 0*K24 + 0*L24)</f>
        <v>1</v>
      </c>
      <c r="D24" s="2" t="n">
        <f aca="false">(0.5*M24 + 0.25*N24 + 0.25*O24 + 0*P24 + 0*Q24)</f>
        <v>0.5</v>
      </c>
      <c r="E24" s="2" t="n">
        <f aca="false">(R24 + S24 + T24 + U24 + V24)/5</f>
        <v>1</v>
      </c>
      <c r="F24" s="2" t="n">
        <f aca="false">(W24 + X24 + Y24 +Z24 + AA24)/5</f>
        <v>0.8</v>
      </c>
      <c r="G24" s="2" t="n">
        <f aca="false">(AB24 + AC24 + AD24 +AE24 + AF24)/5</f>
        <v>0.6</v>
      </c>
      <c r="H24" s="1" t="n">
        <v>1</v>
      </c>
      <c r="I24" s="1" t="n">
        <v>1</v>
      </c>
      <c r="J24" s="3" t="n">
        <v>0</v>
      </c>
      <c r="K24" s="3" t="n">
        <v>0</v>
      </c>
      <c r="L24" s="3" t="n">
        <v>0</v>
      </c>
      <c r="M24" s="4" t="n">
        <v>0</v>
      </c>
      <c r="N24" s="4" t="n">
        <v>1</v>
      </c>
      <c r="O24" s="4" t="n">
        <v>1</v>
      </c>
      <c r="P24" s="3" t="n">
        <v>0</v>
      </c>
      <c r="Q24" s="3" t="n">
        <v>0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4" t="n">
        <v>1</v>
      </c>
      <c r="X24" s="4" t="n">
        <v>1</v>
      </c>
      <c r="Y24" s="4" t="n">
        <v>0</v>
      </c>
      <c r="Z24" s="4" t="n">
        <v>1</v>
      </c>
      <c r="AA24" s="4" t="n">
        <v>1</v>
      </c>
      <c r="AB24" s="1" t="n">
        <v>1</v>
      </c>
      <c r="AC24" s="1" t="n">
        <v>1</v>
      </c>
      <c r="AD24" s="1" t="n">
        <v>0</v>
      </c>
      <c r="AE24" s="1" t="n">
        <v>0</v>
      </c>
      <c r="AF24" s="1" t="n">
        <v>1</v>
      </c>
    </row>
    <row r="25" customFormat="false" ht="12.8" hidden="false" customHeight="false" outlineLevel="0" collapsed="false">
      <c r="A25" s="1" t="n">
        <v>1956794</v>
      </c>
      <c r="B25" s="1" t="n">
        <f aca="false">(15*C25 + 25*D25 + 25*E25 + 15*F25 + 20*G25)</f>
        <v>44.25</v>
      </c>
      <c r="C25" s="2" t="n">
        <f aca="false">(0.5*H25 + 0.5*I25 + 0*J25 + 0*K25 + 0*L25)</f>
        <v>1</v>
      </c>
      <c r="D25" s="2" t="n">
        <f aca="false">(0.5*M25 + 0.25*N25 + 0.25*O25 + 0*P25 + 0*Q25)</f>
        <v>0.25</v>
      </c>
      <c r="E25" s="2" t="n">
        <f aca="false">(R25 + S25 + T25 + U25 + V25)/5</f>
        <v>0</v>
      </c>
      <c r="F25" s="2" t="n">
        <f aca="false">(W25 + X25 + Y25 +Z25 + AA25)/5</f>
        <v>1</v>
      </c>
      <c r="G25" s="2" t="n">
        <f aca="false">(AB25 + AC25 + AD25 +AE25 + AF25)/5</f>
        <v>0.4</v>
      </c>
      <c r="H25" s="1" t="n">
        <v>1</v>
      </c>
      <c r="I25" s="1" t="n">
        <v>1</v>
      </c>
      <c r="J25" s="3" t="n">
        <v>0</v>
      </c>
      <c r="K25" s="3" t="n">
        <v>0</v>
      </c>
      <c r="L25" s="3" t="n">
        <v>0</v>
      </c>
      <c r="M25" s="4" t="n">
        <v>0</v>
      </c>
      <c r="N25" s="4" t="n">
        <v>1</v>
      </c>
      <c r="O25" s="4" t="n">
        <v>0</v>
      </c>
      <c r="P25" s="3" t="n">
        <v>0</v>
      </c>
      <c r="Q25" s="3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4" t="n">
        <v>1</v>
      </c>
      <c r="X25" s="4" t="n">
        <v>1</v>
      </c>
      <c r="Y25" s="4" t="n">
        <v>1</v>
      </c>
      <c r="Z25" s="4" t="n">
        <v>1</v>
      </c>
      <c r="AA25" s="4" t="n">
        <v>1</v>
      </c>
      <c r="AB25" s="1" t="n">
        <v>0</v>
      </c>
      <c r="AC25" s="1" t="n">
        <v>1</v>
      </c>
      <c r="AD25" s="1" t="n">
        <v>0</v>
      </c>
      <c r="AE25" s="1" t="n">
        <v>0</v>
      </c>
      <c r="AF25" s="1" t="n">
        <v>1</v>
      </c>
    </row>
    <row r="26" customFormat="false" ht="12.8" hidden="false" customHeight="false" outlineLevel="0" collapsed="false">
      <c r="A26" s="1" t="n">
        <v>2043388</v>
      </c>
      <c r="B26" s="1" t="n">
        <f aca="false">(15*C26 + 25*D26 + 25*E26 + 15*F26 + 20*G26)</f>
        <v>87.5</v>
      </c>
      <c r="C26" s="2" t="n">
        <f aca="false">(0.5*H26 + 0.5*I26 + 0*J26 + 0*K26 + 0*L26)</f>
        <v>1</v>
      </c>
      <c r="D26" s="2" t="n">
        <f aca="false">(0.5*M26 + 0.25*N26 + 0.25*O26 + 0*P26 + 0*Q26)</f>
        <v>0.5</v>
      </c>
      <c r="E26" s="2" t="n">
        <f aca="false">(R26 + S26 + T26 + U26 + V26)/5</f>
        <v>1</v>
      </c>
      <c r="F26" s="2" t="n">
        <f aca="false">(W26 + X26 + Y26 +Z26 + AA26)/5</f>
        <v>1</v>
      </c>
      <c r="G26" s="2" t="n">
        <f aca="false">(AB26 + AC26 + AD26 +AE26 + AF26)/5</f>
        <v>1</v>
      </c>
      <c r="H26" s="1" t="n">
        <v>1</v>
      </c>
      <c r="I26" s="1" t="n">
        <v>1</v>
      </c>
      <c r="J26" s="3" t="n">
        <v>0</v>
      </c>
      <c r="K26" s="3" t="n">
        <v>0</v>
      </c>
      <c r="L26" s="3" t="n">
        <v>0</v>
      </c>
      <c r="M26" s="4" t="n">
        <v>0</v>
      </c>
      <c r="N26" s="4" t="n">
        <v>1</v>
      </c>
      <c r="O26" s="4" t="n">
        <v>1</v>
      </c>
      <c r="P26" s="3" t="n">
        <v>0</v>
      </c>
      <c r="Q26" s="3" t="n">
        <v>0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4" t="n">
        <v>1</v>
      </c>
      <c r="X26" s="4" t="n">
        <v>1</v>
      </c>
      <c r="Y26" s="4" t="n">
        <v>1</v>
      </c>
      <c r="Z26" s="4" t="n">
        <v>1</v>
      </c>
      <c r="AA26" s="4" t="n">
        <v>1</v>
      </c>
      <c r="AB26" s="1" t="n">
        <v>1</v>
      </c>
      <c r="AC26" s="1" t="n">
        <v>1</v>
      </c>
      <c r="AD26" s="1" t="n">
        <v>1</v>
      </c>
      <c r="AE26" s="1" t="n">
        <v>1</v>
      </c>
      <c r="AF26" s="1" t="n">
        <v>1</v>
      </c>
    </row>
    <row r="27" customFormat="false" ht="12.8" hidden="false" customHeight="false" outlineLevel="0" collapsed="false">
      <c r="A27" s="1" t="n">
        <v>2034930</v>
      </c>
      <c r="B27" s="1" t="n">
        <f aca="false">(15*C27 + 25*D27 + 25*E27 + 15*F27 + 20*G27)</f>
        <v>46.875</v>
      </c>
      <c r="C27" s="2" t="n">
        <f aca="false">(0.5*H27 + 0.5*I27 + 0*J27 + 0*K27 + 0*L27)</f>
        <v>1</v>
      </c>
      <c r="D27" s="2" t="n">
        <f aca="false">(0.5*M27 + 0.25*N27 + 0.25*O27 + 0*P27 + 0*Q27)</f>
        <v>0.875</v>
      </c>
      <c r="E27" s="2" t="n">
        <f aca="false">(R27 + S27 + T27 + U27 + V27)/5</f>
        <v>0.4</v>
      </c>
      <c r="F27" s="2" t="n">
        <f aca="false">(W27 + X27 + Y27 +Z27 + AA27)/5</f>
        <v>0</v>
      </c>
      <c r="G27" s="2" t="n">
        <f aca="false">(AB27 + AC27 + AD27 +AE27 + AF27)/5</f>
        <v>0</v>
      </c>
      <c r="H27" s="1" t="n">
        <v>1</v>
      </c>
      <c r="I27" s="1" t="n">
        <v>1</v>
      </c>
      <c r="J27" s="3" t="n">
        <v>0</v>
      </c>
      <c r="K27" s="3" t="n">
        <v>0</v>
      </c>
      <c r="L27" s="3" t="n">
        <v>0</v>
      </c>
      <c r="M27" s="4" t="n">
        <v>0.75</v>
      </c>
      <c r="N27" s="4" t="n">
        <v>1</v>
      </c>
      <c r="O27" s="4" t="n">
        <v>1</v>
      </c>
      <c r="P27" s="3" t="n">
        <v>0</v>
      </c>
      <c r="Q27" s="3" t="n">
        <v>0</v>
      </c>
      <c r="R27" s="1" t="n">
        <v>1</v>
      </c>
      <c r="S27" s="1" t="n">
        <v>1</v>
      </c>
      <c r="T27" s="1" t="n">
        <v>0</v>
      </c>
      <c r="U27" s="1" t="n">
        <v>0</v>
      </c>
      <c r="V27" s="1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</row>
    <row r="28" customFormat="false" ht="12.8" hidden="false" customHeight="false" outlineLevel="0" collapsed="false">
      <c r="A28" s="1" t="n">
        <v>2047230</v>
      </c>
      <c r="B28" s="1" t="n">
        <f aca="false">(15*C28 + 25*D28 + 25*E28 + 15*F28 + 20*G28)</f>
        <v>37.5</v>
      </c>
      <c r="C28" s="2" t="n">
        <f aca="false">(0.5*H28 + 0.5*I28 + 0*J28 + 0*K28 + 0*L28)</f>
        <v>1</v>
      </c>
      <c r="D28" s="2" t="n">
        <f aca="false">(0.5*M28 + 0.25*N28 + 0.25*O28 + 0*P28 + 0*Q28)</f>
        <v>0.5</v>
      </c>
      <c r="E28" s="2" t="n">
        <f aca="false">(R28 + S28 + T28 + U28 + V28)/5</f>
        <v>0.4</v>
      </c>
      <c r="F28" s="2" t="n">
        <f aca="false">(W28 + X28 + Y28 +Z28 + AA28)/5</f>
        <v>0</v>
      </c>
      <c r="G28" s="2" t="n">
        <f aca="false">(AB28 + AC28 + AD28 +AE28 + AF28)/5</f>
        <v>0</v>
      </c>
      <c r="H28" s="1" t="n">
        <v>1</v>
      </c>
      <c r="I28" s="1" t="n">
        <v>1</v>
      </c>
      <c r="J28" s="3" t="n">
        <v>0</v>
      </c>
      <c r="K28" s="3" t="n">
        <v>0</v>
      </c>
      <c r="L28" s="3" t="n">
        <v>0</v>
      </c>
      <c r="M28" s="4" t="n">
        <v>0</v>
      </c>
      <c r="N28" s="4" t="n">
        <v>1</v>
      </c>
      <c r="O28" s="4" t="n">
        <v>1</v>
      </c>
      <c r="P28" s="3" t="n">
        <v>0</v>
      </c>
      <c r="Q28" s="3" t="n">
        <v>0</v>
      </c>
      <c r="R28" s="1" t="n">
        <v>1</v>
      </c>
      <c r="S28" s="1" t="n">
        <v>1</v>
      </c>
      <c r="T28" s="1" t="n">
        <v>0</v>
      </c>
      <c r="U28" s="1" t="n">
        <v>0</v>
      </c>
      <c r="V28" s="1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</row>
    <row r="30" customFormat="false" ht="46.75" hidden="false" customHeight="false" outlineLevel="0" collapsed="false">
      <c r="A30" s="12" t="s">
        <v>8</v>
      </c>
    </row>
    <row r="31" customFormat="false" ht="37.8" hidden="false" customHeight="true" outlineLevel="0" collapsed="false">
      <c r="A31" s="12" t="n">
        <v>1938314</v>
      </c>
      <c r="B31" s="12" t="s">
        <v>9</v>
      </c>
    </row>
    <row r="32" customFormat="false" ht="40.75" hidden="false" customHeight="true" outlineLevel="0" collapsed="false">
      <c r="A32" s="12" t="n">
        <v>2002583</v>
      </c>
      <c r="B32" s="12" t="s">
        <v>10</v>
      </c>
    </row>
    <row r="33" customFormat="false" ht="40.75" hidden="false" customHeight="true" outlineLevel="0" collapsed="false">
      <c r="A33" s="12"/>
      <c r="B33" s="12"/>
    </row>
    <row r="34" customFormat="false" ht="12.8" hidden="false" customHeight="false" outlineLevel="0" collapsed="false">
      <c r="A34" s="5" t="s">
        <v>11</v>
      </c>
    </row>
    <row r="35" customFormat="false" ht="12.8" hidden="false" customHeight="false" outlineLevel="0" collapsed="false">
      <c r="A35" s="5"/>
    </row>
    <row r="36" customFormat="false" ht="68.65" hidden="false" customHeight="false" outlineLevel="0" collapsed="false">
      <c r="A36" s="1" t="s">
        <v>12</v>
      </c>
      <c r="B36" s="12" t="s">
        <v>13</v>
      </c>
    </row>
    <row r="37" customFormat="false" ht="57.45" hidden="false" customHeight="false" outlineLevel="0" collapsed="false">
      <c r="A37" s="1" t="s">
        <v>14</v>
      </c>
      <c r="B37" s="12" t="s">
        <v>15</v>
      </c>
    </row>
    <row r="38" customFormat="false" ht="12.8" hidden="false" customHeight="false" outlineLevel="0" collapsed="false">
      <c r="B38" s="12"/>
    </row>
    <row r="39" customFormat="false" ht="12.8" hidden="false" customHeight="false" outlineLevel="0" collapsed="false">
      <c r="A39" s="5" t="s">
        <v>16</v>
      </c>
    </row>
    <row r="40" customFormat="false" ht="46.25" hidden="false" customHeight="false" outlineLevel="0" collapsed="false">
      <c r="A40" s="1" t="s">
        <v>12</v>
      </c>
      <c r="B40" s="12" t="s">
        <v>17</v>
      </c>
    </row>
    <row r="41" customFormat="false" ht="57.45" hidden="false" customHeight="false" outlineLevel="0" collapsed="false">
      <c r="A41" s="1" t="s">
        <v>14</v>
      </c>
      <c r="B41" s="12" t="s">
        <v>18</v>
      </c>
    </row>
    <row r="42" customFormat="false" ht="46.25" hidden="false" customHeight="false" outlineLevel="0" collapsed="false">
      <c r="A42" s="1" t="s">
        <v>19</v>
      </c>
      <c r="B42" s="12" t="s">
        <v>20</v>
      </c>
    </row>
    <row r="44" customFormat="false" ht="12.8" hidden="false" customHeight="false" outlineLevel="0" collapsed="false">
      <c r="B44" s="12"/>
    </row>
    <row r="45" customFormat="false" ht="12.8" hidden="false" customHeight="false" outlineLevel="0" collapsed="false">
      <c r="B45" s="12"/>
    </row>
    <row r="49" customFormat="false" ht="12.8" hidden="false" customHeight="false" outlineLevel="0" collapsed="false">
      <c r="B49" s="12"/>
    </row>
    <row r="50" customFormat="false" ht="12.8" hidden="false" customHeight="false" outlineLevel="0" collapsed="false">
      <c r="B50" s="12"/>
    </row>
    <row r="51" customFormat="false" ht="12.8" hidden="false" customHeight="false" outlineLevel="0" collapsed="false">
      <c r="B51" s="12"/>
    </row>
    <row r="53" customFormat="false" ht="12.8" hidden="false" customHeight="false" outlineLevel="0" collapsed="false">
      <c r="B53" s="12"/>
    </row>
    <row r="55" customFormat="false" ht="12.8" hidden="false" customHeight="false" outlineLevel="0" collapsed="false">
      <c r="B55" s="12"/>
    </row>
  </sheetData>
  <mergeCells count="6">
    <mergeCell ref="C1:G1"/>
    <mergeCell ref="H1:L1"/>
    <mergeCell ref="M1:Q1"/>
    <mergeCell ref="R1:V1"/>
    <mergeCell ref="W1:AA1"/>
    <mergeCell ref="AB1:A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true" showRowColHeaders="true" showZeros="true" rightToLeft="false" tabSelected="false" showOutlineSymbols="true" defaultGridColor="true" view="normal" topLeftCell="A40" colorId="64" zoomScale="150" zoomScaleNormal="150" zoomScalePageLayoutView="100" workbookViewId="0">
      <selection pane="topLeft" activeCell="C69" activeCellId="1" sqref="4:4 C69"/>
    </sheetView>
  </sheetViews>
  <sheetFormatPr defaultColWidth="11.640625" defaultRowHeight="12.8" zeroHeight="false" outlineLevelRow="0" outlineLevelCol="0"/>
  <sheetData>
    <row r="1" customFormat="false" ht="12.8" hidden="false" customHeight="false" outlineLevel="0" collapsed="false">
      <c r="A1" s="13" t="s">
        <v>7</v>
      </c>
      <c r="B1" s="13" t="s">
        <v>21</v>
      </c>
      <c r="C1" s="13"/>
      <c r="D1" s="13"/>
      <c r="E1" s="13"/>
      <c r="F1" s="13"/>
      <c r="G1" s="14" t="s">
        <v>22</v>
      </c>
    </row>
    <row r="2" customFormat="false" ht="12.8" hidden="false" customHeight="false" outlineLevel="0" collapsed="false">
      <c r="A2" s="14" t="n">
        <f aca="false">(Sheet1!B7)</f>
        <v>10</v>
      </c>
      <c r="B2" s="14" t="n">
        <f aca="false">(1/$G$2)</f>
        <v>0.0169491525423729</v>
      </c>
      <c r="C2" s="14" t="n">
        <f aca="false">SUM($B2:$B$60)</f>
        <v>1</v>
      </c>
      <c r="D2" s="14" t="n">
        <v>31</v>
      </c>
      <c r="E2" s="14" t="n">
        <f aca="false">_xlfn.IFS(C2 &gt; 0.95, 31, C2 &gt; 0.9, 30, C2 &gt; 0.85,  29, C2 &gt; 0.8, 27, C2 &gt; 0.75, 26, C2 &gt; 0.7, 25, C2 &gt; 0.65, 24, C2 &gt; 0.6 , 23, C2 &gt; 0.55 , 22, C2 &gt; 0.5, 21, C2 &gt; 0.45, 20, C2 &gt; 0.4, 19, C2 &gt; 0.35, 18, C2 &lt;= 0.35, 0 )</f>
        <v>31</v>
      </c>
      <c r="F2" s="14"/>
      <c r="G2" s="14" t="n">
        <v>59</v>
      </c>
    </row>
    <row r="3" customFormat="false" ht="12.8" hidden="false" customHeight="false" outlineLevel="0" collapsed="false">
      <c r="A3" s="14" t="e">
        <f aca="false">(#REF!)</f>
        <v>#REF!</v>
      </c>
      <c r="B3" s="14" t="n">
        <f aca="false">(2/$G$2)</f>
        <v>0.0338983050847458</v>
      </c>
      <c r="C3" s="14" t="n">
        <f aca="false">SUM($B3:$B$60)</f>
        <v>0.983050847457627</v>
      </c>
      <c r="D3" s="14" t="n">
        <v>31</v>
      </c>
      <c r="E3" s="14" t="n">
        <f aca="false">_xlfn.IFS(C3 &gt; 0.95, 31, C3 &gt; 0.9, 30, C3 &gt; 0.85,  29, C3 &gt; 0.8, 27, C3 &gt; 0.75, 26, C3 &gt; 0.7, 25, C3 &gt; 0.65, 24, C3 &gt; 0.6 , 23, C3 &gt; 0.55 , 22, C3 &gt; 0.5, 21, C3 &gt; 0.45, 20, C3 &gt; 0.4, 19, C3 &gt; 0.35, 18, C3 &lt;= 0.35, 0 )</f>
        <v>31</v>
      </c>
    </row>
    <row r="4" customFormat="false" ht="12.8" hidden="false" customHeight="false" outlineLevel="0" collapsed="false">
      <c r="A4" s="14" t="e">
        <f aca="false">(#REF!)</f>
        <v>#REF!</v>
      </c>
      <c r="B4" s="14"/>
      <c r="C4" s="14"/>
      <c r="E4" s="14" t="n">
        <f aca="false">_xlfn.IFS(C4 &gt; 0.95, 31, C4 &gt; 0.9, 30, C4 &gt; 0.85,  29, C4 &gt; 0.8, 27, C4 &gt; 0.75, 26, C4 &gt; 0.7, 25, C4 &gt; 0.65, 24, C4 &gt; 0.6 , 23, C4 &gt; 0.55 , 22, C4 &gt; 0.5, 21, C4 &gt; 0.45, 20, C4 &gt; 0.4, 19, C4 &gt; 0.35, 18, C4 &lt;= 0.35, 0 )</f>
        <v>0</v>
      </c>
    </row>
    <row r="5" customFormat="false" ht="12.8" hidden="false" customHeight="false" outlineLevel="0" collapsed="false">
      <c r="A5" s="14" t="e">
        <f aca="false">(#REF!)</f>
        <v>#REF!</v>
      </c>
      <c r="B5" s="14" t="n">
        <f aca="false">(1/$G$2)</f>
        <v>0.0169491525423729</v>
      </c>
      <c r="C5" s="14" t="n">
        <f aca="false">SUM($B5:$B$60)</f>
        <v>0.949152542372881</v>
      </c>
      <c r="D5" s="14" t="n">
        <v>30</v>
      </c>
      <c r="E5" s="14" t="n">
        <f aca="false">_xlfn.IFS(C5 &gt; 0.95, 31, C5 &gt; 0.9, 30, C5 &gt; 0.85,  29, C5 &gt; 0.8, 27, C5 &gt; 0.75, 26, C5 &gt; 0.7, 25, C5 &gt; 0.65, 24, C5 &gt; 0.6 , 23, C5 &gt; 0.55 , 22, C5 &gt; 0.5, 21, C5 &gt; 0.45, 20, C5 &gt; 0.4, 19, C5 &gt; 0.35, 18, C5 &lt;= 0.35, 0 )</f>
        <v>30</v>
      </c>
      <c r="F5" s="14"/>
    </row>
    <row r="6" customFormat="false" ht="12.8" hidden="false" customHeight="false" outlineLevel="0" collapsed="false">
      <c r="A6" s="14" t="n">
        <f aca="false">(Sheet1!B8)</f>
        <v>37.5</v>
      </c>
      <c r="B6" s="14" t="n">
        <f aca="false">(2/$G$2)</f>
        <v>0.0338983050847458</v>
      </c>
      <c r="C6" s="14" t="n">
        <f aca="false">SUM($B6:$B$60)</f>
        <v>0.932203389830509</v>
      </c>
      <c r="D6" s="14" t="n">
        <v>30</v>
      </c>
      <c r="E6" s="14" t="n">
        <f aca="false">_xlfn.IFS(C6 &gt; 0.95, 31, C6 &gt; 0.9, 30, C6 &gt; 0.85,  29, C6 &gt; 0.8, 27, C6 &gt; 0.75, 26, C6 &gt; 0.7, 25, C6 &gt; 0.65, 24, C6 &gt; 0.6 , 23, C6 &gt; 0.55 , 22, C6 &gt; 0.5, 21, C6 &gt; 0.45, 20, C6 &gt; 0.4, 19, C6 &gt; 0.35, 18, C6 &lt;= 0.35, 0 )</f>
        <v>30</v>
      </c>
      <c r="F6" s="14"/>
    </row>
    <row r="7" customFormat="false" ht="12.8" hidden="false" customHeight="false" outlineLevel="0" collapsed="false">
      <c r="A7" s="14" t="n">
        <f aca="false">(Sheet1!B17)</f>
        <v>58</v>
      </c>
      <c r="B7" s="14"/>
      <c r="C7" s="14"/>
      <c r="D7" s="14"/>
      <c r="E7" s="14" t="n">
        <f aca="false">_xlfn.IFS(C7 &gt; 0.95, 31, C7 &gt; 0.9, 30, C7 &gt; 0.85,  29, C7 &gt; 0.8, 27, C7 &gt; 0.75, 26, C7 &gt; 0.7, 25, C7 &gt; 0.65, 24, C7 &gt; 0.6 , 23, C7 &gt; 0.55 , 22, C7 &gt; 0.5, 21, C7 &gt; 0.45, 20, C7 &gt; 0.4, 19, C7 &gt; 0.35, 18, C7 &lt;= 0.35, 0 )</f>
        <v>0</v>
      </c>
      <c r="F7" s="14"/>
    </row>
    <row r="8" customFormat="false" ht="12.8" hidden="false" customHeight="false" outlineLevel="0" collapsed="false">
      <c r="A8" s="14" t="n">
        <f aca="false">(Sheet1!B21)</f>
        <v>0</v>
      </c>
      <c r="B8" s="14" t="n">
        <f aca="false">(2/$G$2)</f>
        <v>0.0338983050847458</v>
      </c>
      <c r="C8" s="14" t="n">
        <f aca="false">SUM($B8:$B$60)</f>
        <v>0.898305084745763</v>
      </c>
      <c r="D8" s="14" t="n">
        <v>29</v>
      </c>
      <c r="E8" s="14" t="n">
        <f aca="false">_xlfn.IFS(C8 &gt; 0.95, 31, C8 &gt; 0.9, 30, C8 &gt; 0.85,  29, C8 &gt; 0.8, 27, C8 &gt; 0.75, 26, C8 &gt; 0.7, 25, C8 &gt; 0.65, 24, C8 &gt; 0.6 , 23, C8 &gt; 0.55 , 22, C8 &gt; 0.5, 21, C8 &gt; 0.45, 20, C8 &gt; 0.4, 19, C8 &gt; 0.35, 18, C8 &lt;= 0.35, 0 )</f>
        <v>29</v>
      </c>
      <c r="F8" s="14"/>
    </row>
    <row r="9" customFormat="false" ht="12.8" hidden="false" customHeight="false" outlineLevel="0" collapsed="false">
      <c r="A9" s="14" t="e">
        <f aca="false">(#REF!)</f>
        <v>#REF!</v>
      </c>
      <c r="B9" s="14"/>
      <c r="C9" s="14"/>
      <c r="D9" s="14"/>
      <c r="E9" s="14" t="n">
        <f aca="false">_xlfn.IFS(C9 &gt; 0.95, 31, C9 &gt; 0.9, 30, C9 &gt; 0.85,  29, C9 &gt; 0.8, 27, C9 &gt; 0.75, 26, C9 &gt; 0.7, 25, C9 &gt; 0.65, 24, C9 &gt; 0.6 , 23, C9 &gt; 0.55 , 22, C9 &gt; 0.5, 21, C9 &gt; 0.45, 20, C9 &gt; 0.4, 19, C9 &gt; 0.35, 18, C9 &lt;= 0.35, 0 )</f>
        <v>0</v>
      </c>
      <c r="F9" s="14"/>
    </row>
    <row r="10" customFormat="false" ht="12.8" hidden="false" customHeight="false" outlineLevel="0" collapsed="false">
      <c r="A10" s="14" t="n">
        <f aca="false">(Sheet1!B26)</f>
        <v>87.5</v>
      </c>
      <c r="B10" s="14" t="n">
        <f aca="false">(3/$G$2)</f>
        <v>0.0508474576271187</v>
      </c>
      <c r="C10" s="14" t="n">
        <f aca="false">SUM($B10:$B$60)</f>
        <v>0.864406779661017</v>
      </c>
      <c r="D10" s="14" t="n">
        <v>29</v>
      </c>
      <c r="E10" s="14" t="n">
        <f aca="false">_xlfn.IFS(C10 &gt; 0.95, 31, C10 &gt; 0.9, 30, C10 &gt; 0.85,  29, C10 &gt; 0.8, 27, C10 &gt; 0.75, 26, C10 &gt; 0.7, 25, C10 &gt; 0.65, 24, C10 &gt; 0.6 , 23, C10 &gt; 0.55 , 22, C10 &gt; 0.5, 21, C10 &gt; 0.45, 20, C10 &gt; 0.4, 19, C10 &gt; 0.35, 18, C10 &lt;= 0.35, 0 )</f>
        <v>29</v>
      </c>
      <c r="F10" s="14"/>
    </row>
    <row r="11" customFormat="false" ht="12.8" hidden="false" customHeight="false" outlineLevel="0" collapsed="false">
      <c r="A11" s="14" t="e">
        <f aca="false">(#REF!)</f>
        <v>#REF!</v>
      </c>
      <c r="B11" s="14"/>
      <c r="C11" s="14"/>
      <c r="D11" s="14"/>
      <c r="E11" s="14" t="n">
        <f aca="false">_xlfn.IFS(C11 &gt; 0.95, 31, C11 &gt; 0.9, 30, C11 &gt; 0.85,  29, C11 &gt; 0.8, 27, C11 &gt; 0.75, 26, C11 &gt; 0.7, 25, C11 &gt; 0.65, 24, C11 &gt; 0.6 , 23, C11 &gt; 0.55 , 22, C11 &gt; 0.5, 21, C11 &gt; 0.45, 20, C11 &gt; 0.4, 19, C11 &gt; 0.35, 18, C11 &lt;= 0.35, 0 )</f>
        <v>0</v>
      </c>
      <c r="F11" s="14"/>
    </row>
    <row r="12" customFormat="false" ht="12.8" hidden="false" customHeight="false" outlineLevel="0" collapsed="false">
      <c r="A12" s="14" t="e">
        <f aca="false">(#REF!)</f>
        <v>#REF!</v>
      </c>
      <c r="B12" s="14"/>
      <c r="C12" s="14"/>
      <c r="D12" s="14"/>
      <c r="E12" s="14" t="n">
        <f aca="false">_xlfn.IFS(C12 &gt; 0.95, 31, C12 &gt; 0.9, 30, C12 &gt; 0.85,  29, C12 &gt; 0.8, 27, C12 &gt; 0.75, 26, C12 &gt; 0.7, 25, C12 &gt; 0.65, 24, C12 &gt; 0.6 , 23, C12 &gt; 0.55 , 22, C12 &gt; 0.5, 21, C12 &gt; 0.45, 20, C12 &gt; 0.4, 19, C12 &gt; 0.35, 18, C12 &lt;= 0.35, 0 )</f>
        <v>0</v>
      </c>
      <c r="F12" s="14"/>
    </row>
    <row r="13" customFormat="false" ht="12.8" hidden="false" customHeight="false" outlineLevel="0" collapsed="false">
      <c r="A13" s="14" t="n">
        <f aca="false">(Sheet1!B6)</f>
        <v>40.5</v>
      </c>
      <c r="B13" s="14" t="n">
        <f aca="false">(2/$G$2)</f>
        <v>0.0338983050847458</v>
      </c>
      <c r="C13" s="14" t="n">
        <f aca="false">SUM($B13:$B$60)</f>
        <v>0.813559322033898</v>
      </c>
      <c r="D13" s="14" t="n">
        <v>28</v>
      </c>
      <c r="E13" s="14" t="n">
        <f aca="false">_xlfn.IFS(C13 &gt; 0.95, 31, C13 &gt; 0.9, 30, C13 &gt; 0.85,  29, C13 &gt; 0.8, 27, C13 &gt; 0.75, 26, C13 &gt; 0.7, 25, C13 &gt; 0.65, 24, C13 &gt; 0.6 , 23, C13 &gt; 0.55 , 22, C13 &gt; 0.5, 21, C13 &gt; 0.45, 20, C13 &gt; 0.4, 19, C13 &gt; 0.35, 18, C13 &lt;= 0.35, 0 )</f>
        <v>27</v>
      </c>
      <c r="F13" s="14"/>
    </row>
    <row r="14" customFormat="false" ht="12.8" hidden="false" customHeight="false" outlineLevel="0" collapsed="false">
      <c r="A14" s="14" t="e">
        <f aca="false">(#REF!)</f>
        <v>#REF!</v>
      </c>
      <c r="B14" s="14"/>
      <c r="C14" s="14"/>
      <c r="D14" s="14"/>
      <c r="E14" s="14" t="n">
        <f aca="false">_xlfn.IFS(C14 &gt; 0.95, 31, C14 &gt; 0.9, 30, C14 &gt; 0.85,  29, C14 &gt; 0.8, 27, C14 &gt; 0.75, 26, C14 &gt; 0.7, 25, C14 &gt; 0.65, 24, C14 &gt; 0.6 , 23, C14 &gt; 0.55 , 22, C14 &gt; 0.5, 21, C14 &gt; 0.45, 20, C14 &gt; 0.4, 19, C14 &gt; 0.35, 18, C14 &lt;= 0.35, 0 )</f>
        <v>0</v>
      </c>
      <c r="F14" s="14"/>
    </row>
    <row r="15" customFormat="false" ht="12.8" hidden="false" customHeight="false" outlineLevel="0" collapsed="false">
      <c r="A15" s="14" t="e">
        <f aca="false">(#REF!)</f>
        <v>#REF!</v>
      </c>
      <c r="B15" s="14" t="n">
        <f aca="false">(1/$G$2)</f>
        <v>0.0169491525423729</v>
      </c>
      <c r="C15" s="14" t="n">
        <f aca="false">SUM($B15:$B$60)</f>
        <v>0.779661016949152</v>
      </c>
      <c r="D15" s="14" t="n">
        <v>27</v>
      </c>
      <c r="E15" s="14" t="n">
        <f aca="false">_xlfn.IFS(C15 &gt; 0.95, 31, C15 &gt; 0.9, 30, C15 &gt; 0.85,  29, C15 &gt; 0.8, 27, C15 &gt; 0.75, 26, C15 &gt; 0.7, 25, C15 &gt; 0.65, 24, C15 &gt; 0.6 , 23, C15 &gt; 0.55 , 22, C15 &gt; 0.5, 21, C15 &gt; 0.45, 20, C15 &gt; 0.4, 19, C15 &gt; 0.35, 18, C15 &lt;= 0.35, 0 )</f>
        <v>26</v>
      </c>
      <c r="F15" s="14"/>
    </row>
    <row r="16" customFormat="false" ht="12.8" hidden="false" customHeight="false" outlineLevel="0" collapsed="false">
      <c r="A16" s="14" t="e">
        <f aca="false">(#REF!)</f>
        <v>#REF!</v>
      </c>
      <c r="B16" s="14" t="n">
        <f aca="false">(1/$G$2)</f>
        <v>0.0169491525423729</v>
      </c>
      <c r="C16" s="14" t="n">
        <f aca="false">SUM($B16:$B$60)</f>
        <v>0.76271186440678</v>
      </c>
      <c r="D16" s="14" t="n">
        <v>27</v>
      </c>
      <c r="E16" s="14" t="n">
        <f aca="false">_xlfn.IFS(C16 &gt; 0.95, 31, C16 &gt; 0.9, 30, C16 &gt; 0.85,  29, C16 &gt; 0.8, 27, C16 &gt; 0.75, 26, C16 &gt; 0.7, 25, C16 &gt; 0.65, 24, C16 &gt; 0.6 , 23, C16 &gt; 0.55 , 22, C16 &gt; 0.5, 21, C16 &gt; 0.45, 20, C16 &gt; 0.4, 19, C16 &gt; 0.35, 18, C16 &lt;= 0.35, 0 )</f>
        <v>26</v>
      </c>
      <c r="F16" s="14"/>
    </row>
    <row r="17" customFormat="false" ht="12.8" hidden="false" customHeight="false" outlineLevel="0" collapsed="false">
      <c r="A17" s="14" t="n">
        <f aca="false">(Sheet1!B16)</f>
        <v>75.5</v>
      </c>
      <c r="B17" s="14" t="n">
        <f aca="false">(4/$G$2)</f>
        <v>0.0677966101694915</v>
      </c>
      <c r="C17" s="14" t="n">
        <f aca="false">SUM($B17:$B$60)</f>
        <v>0.745762711864407</v>
      </c>
      <c r="D17" s="14" t="n">
        <v>26</v>
      </c>
      <c r="E17" s="14" t="n">
        <f aca="false">_xlfn.IFS(C17 &gt; 0.95, 31, C17 &gt; 0.9, 30, C17 &gt; 0.85,  29, C17 &gt; 0.8, 27, C17 &gt; 0.75, 26, C17 &gt; 0.7, 25, C17 &gt; 0.65, 24, C17 &gt; 0.6 , 23, C17 &gt; 0.55 , 22, C17 &gt; 0.5, 21, C17 &gt; 0.45, 20, C17 &gt; 0.4, 19, C17 &gt; 0.35, 18, C17 &lt;= 0.35, 0 )</f>
        <v>25</v>
      </c>
      <c r="F17" s="14"/>
    </row>
    <row r="18" customFormat="false" ht="12.8" hidden="false" customHeight="false" outlineLevel="0" collapsed="false">
      <c r="A18" s="14" t="e">
        <f aca="false">(#REF!)</f>
        <v>#REF!</v>
      </c>
      <c r="B18" s="14"/>
      <c r="C18" s="14"/>
      <c r="D18" s="14"/>
      <c r="E18" s="14" t="n">
        <f aca="false">_xlfn.IFS(C18 &gt; 0.95, 31, C18 &gt; 0.9, 30, C18 &gt; 0.85,  29, C18 &gt; 0.8, 27, C18 &gt; 0.75, 26, C18 &gt; 0.7, 25, C18 &gt; 0.65, 24, C18 &gt; 0.6 , 23, C18 &gt; 0.55 , 22, C18 &gt; 0.5, 21, C18 &gt; 0.45, 20, C18 &gt; 0.4, 19, C18 &gt; 0.35, 18, C18 &lt;= 0.35, 0 )</f>
        <v>0</v>
      </c>
      <c r="F18" s="14"/>
    </row>
    <row r="19" customFormat="false" ht="12.8" hidden="false" customHeight="false" outlineLevel="0" collapsed="false">
      <c r="A19" s="14" t="e">
        <f aca="false">(#REF!)</f>
        <v>#REF!</v>
      </c>
      <c r="B19" s="14"/>
      <c r="C19" s="14"/>
      <c r="D19" s="14"/>
      <c r="E19" s="14" t="n">
        <f aca="false">_xlfn.IFS(C19 &gt; 0.95, 31, C19 &gt; 0.9, 30, C19 &gt; 0.85,  29, C19 &gt; 0.8, 27, C19 &gt; 0.75, 26, C19 &gt; 0.7, 25, C19 &gt; 0.65, 24, C19 &gt; 0.6 , 23, C19 &gt; 0.55 , 22, C19 &gt; 0.5, 21, C19 &gt; 0.45, 20, C19 &gt; 0.4, 19, C19 &gt; 0.35, 18, C19 &lt;= 0.35, 0 )</f>
        <v>0</v>
      </c>
      <c r="F19" s="14"/>
    </row>
    <row r="20" customFormat="false" ht="12.8" hidden="false" customHeight="false" outlineLevel="0" collapsed="false">
      <c r="A20" s="14" t="e">
        <f aca="false">(#REF!)</f>
        <v>#REF!</v>
      </c>
      <c r="B20" s="14"/>
      <c r="C20" s="14"/>
      <c r="D20" s="14"/>
      <c r="E20" s="14" t="n">
        <f aca="false">_xlfn.IFS(C20 &gt; 0.95, 31, C20 &gt; 0.9, 30, C20 &gt; 0.85,  29, C20 &gt; 0.8, 27, C20 &gt; 0.75, 26, C20 &gt; 0.7, 25, C20 &gt; 0.65, 24, C20 &gt; 0.6 , 23, C20 &gt; 0.55 , 22, C20 &gt; 0.5, 21, C20 &gt; 0.45, 20, C20 &gt; 0.4, 19, C20 &gt; 0.35, 18, C20 &lt;= 0.35, 0 )</f>
        <v>0</v>
      </c>
      <c r="F20" s="14"/>
    </row>
    <row r="21" customFormat="false" ht="12.8" hidden="false" customHeight="false" outlineLevel="0" collapsed="false">
      <c r="A21" s="14" t="n">
        <f aca="false">(Sheet1!B10)</f>
        <v>87.5</v>
      </c>
      <c r="B21" s="14" t="n">
        <f aca="false">(3/$G$2)</f>
        <v>0.0508474576271187</v>
      </c>
      <c r="C21" s="14" t="n">
        <f aca="false">SUM($B21:$B$60)</f>
        <v>0.677966101694915</v>
      </c>
      <c r="D21" s="14" t="n">
        <v>25</v>
      </c>
      <c r="E21" s="14" t="n">
        <f aca="false">_xlfn.IFS(C21 &gt; 0.95, 31, C21 &gt; 0.9, 30, C21 &gt; 0.85,  29, C21 &gt; 0.8, 27, C21 &gt; 0.75, 26, C21 &gt; 0.7, 25, C21 &gt; 0.65, 24, C21 &gt; 0.6 , 23, C21 &gt; 0.55 , 22, C21 &gt; 0.5, 21, C21 &gt; 0.45, 20, C21 &gt; 0.4, 19, C21 &gt; 0.35, 18, C21 &lt;= 0.35, 0 )</f>
        <v>24</v>
      </c>
      <c r="F21" s="14"/>
    </row>
    <row r="22" customFormat="false" ht="12.8" hidden="false" customHeight="false" outlineLevel="0" collapsed="false">
      <c r="A22" s="14" t="e">
        <f aca="false">(#REF!)</f>
        <v>#REF!</v>
      </c>
      <c r="B22" s="14"/>
      <c r="C22" s="14"/>
      <c r="D22" s="14"/>
      <c r="E22" s="14" t="n">
        <f aca="false">_xlfn.IFS(C22 &gt; 0.95, 31, C22 &gt; 0.9, 30, C22 &gt; 0.85,  29, C22 &gt; 0.8, 27, C22 &gt; 0.75, 26, C22 &gt; 0.7, 25, C22 &gt; 0.65, 24, C22 &gt; 0.6 , 23, C22 &gt; 0.55 , 22, C22 &gt; 0.5, 21, C22 &gt; 0.45, 20, C22 &gt; 0.4, 19, C22 &gt; 0.35, 18, C22 &lt;= 0.35, 0 )</f>
        <v>0</v>
      </c>
      <c r="F22" s="14"/>
    </row>
    <row r="23" customFormat="false" ht="12.8" hidden="false" customHeight="false" outlineLevel="0" collapsed="false">
      <c r="A23" s="14" t="e">
        <f aca="false">(#REF!)</f>
        <v>#REF!</v>
      </c>
      <c r="B23" s="14"/>
      <c r="C23" s="14"/>
      <c r="D23" s="14"/>
      <c r="E23" s="14" t="n">
        <f aca="false">_xlfn.IFS(C23 &gt; 0.95, 31, C23 &gt; 0.9, 30, C23 &gt; 0.85,  29, C23 &gt; 0.8, 27, C23 &gt; 0.75, 26, C23 &gt; 0.7, 25, C23 &gt; 0.65, 24, C23 &gt; 0.6 , 23, C23 &gt; 0.55 , 22, C23 &gt; 0.5, 21, C23 &gt; 0.45, 20, C23 &gt; 0.4, 19, C23 &gt; 0.35, 18, C23 &lt;= 0.35, 0 )</f>
        <v>0</v>
      </c>
      <c r="F23" s="14"/>
    </row>
    <row r="24" customFormat="false" ht="12.8" hidden="false" customHeight="false" outlineLevel="0" collapsed="false">
      <c r="A24" s="14" t="e">
        <f aca="false">(#REF!)</f>
        <v>#REF!</v>
      </c>
      <c r="B24" s="14" t="n">
        <f aca="false">(1/$G$2)</f>
        <v>0.0169491525423729</v>
      </c>
      <c r="C24" s="14" t="n">
        <f aca="false">SUM($B24:$B$60)</f>
        <v>0.627118644067797</v>
      </c>
      <c r="D24" s="14" t="n">
        <v>24</v>
      </c>
      <c r="E24" s="14" t="n">
        <f aca="false">_xlfn.IFS(C24 &gt; 0.95, 31, C24 &gt; 0.9, 30, C24 &gt; 0.85,  29, C24 &gt; 0.8, 27, C24 &gt; 0.75, 26, C24 &gt; 0.7, 25, C24 &gt; 0.65, 24, C24 &gt; 0.6 , 23, C24 &gt; 0.55 , 22, C24 &gt; 0.5, 21, C24 &gt; 0.45, 20, C24 &gt; 0.4, 19, C24 &gt; 0.35, 18, C24 &lt;= 0.35, 0 )</f>
        <v>23</v>
      </c>
      <c r="F24" s="14"/>
    </row>
    <row r="25" customFormat="false" ht="12.8" hidden="false" customHeight="false" outlineLevel="0" collapsed="false">
      <c r="A25" s="14" t="n">
        <f aca="false">(Sheet1!B13)</f>
        <v>20</v>
      </c>
      <c r="B25" s="14" t="n">
        <f aca="false">(2/$G$2)</f>
        <v>0.0338983050847458</v>
      </c>
      <c r="C25" s="14" t="n">
        <f aca="false">SUM($B25:$B$60)</f>
        <v>0.610169491525424</v>
      </c>
      <c r="D25" s="14" t="n">
        <v>24</v>
      </c>
      <c r="E25" s="14" t="n">
        <f aca="false">_xlfn.IFS(C25 &gt; 0.95, 31, C25 &gt; 0.9, 30, C25 &gt; 0.85,  29, C25 &gt; 0.8, 27, C25 &gt; 0.75, 26, C25 &gt; 0.7, 25, C25 &gt; 0.65, 24, C25 &gt; 0.6 , 23, C25 &gt; 0.55 , 22, C25 &gt; 0.5, 21, C25 &gt; 0.45, 20, C25 &gt; 0.4, 19, C25 &gt; 0.35, 18, C25 &lt;= 0.35, 0 )</f>
        <v>23</v>
      </c>
      <c r="F25" s="14"/>
    </row>
    <row r="26" customFormat="false" ht="12.8" hidden="false" customHeight="false" outlineLevel="0" collapsed="false">
      <c r="A26" s="14" t="n">
        <f aca="false">(Sheet1!B18)</f>
        <v>81.75</v>
      </c>
      <c r="B26" s="14"/>
      <c r="C26" s="14"/>
      <c r="D26" s="14"/>
      <c r="E26" s="14" t="n">
        <f aca="false">_xlfn.IFS(C26 &gt; 0.95, 31, C26 &gt; 0.9, 30, C26 &gt; 0.85,  29, C26 &gt; 0.8, 27, C26 &gt; 0.75, 26, C26 &gt; 0.7, 25, C26 &gt; 0.65, 24, C26 &gt; 0.6 , 23, C26 &gt; 0.55 , 22, C26 &gt; 0.5, 21, C26 &gt; 0.45, 20, C26 &gt; 0.4, 19, C26 &gt; 0.35, 18, C26 &lt;= 0.35, 0 )</f>
        <v>0</v>
      </c>
      <c r="F26" s="14"/>
    </row>
    <row r="27" customFormat="false" ht="12.8" hidden="false" customHeight="false" outlineLevel="0" collapsed="false">
      <c r="A27" s="14" t="e">
        <f aca="false">(#REF!)</f>
        <v>#REF!</v>
      </c>
      <c r="B27" s="14" t="n">
        <f aca="false">(2/$G$2)</f>
        <v>0.0338983050847458</v>
      </c>
      <c r="C27" s="14" t="n">
        <f aca="false">SUM($B27:$B$60)</f>
        <v>0.576271186440678</v>
      </c>
      <c r="D27" s="14" t="n">
        <v>23</v>
      </c>
      <c r="E27" s="14" t="n">
        <f aca="false">_xlfn.IFS(C27 &gt; 0.95, 31, C27 &gt; 0.9, 30, C27 &gt; 0.85,  29, C27 &gt; 0.8, 27, C27 &gt; 0.75, 26, C27 &gt; 0.7, 25, C27 &gt; 0.65, 24, C27 &gt; 0.6 , 23, C27 &gt; 0.55 , 22, C27 &gt; 0.5, 21, C27 &gt; 0.45, 20, C27 &gt; 0.4, 19, C27 &gt; 0.35, 18, C27 &lt;= 0.35, 0 )</f>
        <v>22</v>
      </c>
      <c r="F27" s="14"/>
    </row>
    <row r="28" customFormat="false" ht="12.8" hidden="false" customHeight="false" outlineLevel="0" collapsed="false">
      <c r="A28" s="14" t="e">
        <f aca="false">(#REF!)</f>
        <v>#REF!</v>
      </c>
      <c r="B28" s="14"/>
      <c r="C28" s="14"/>
      <c r="D28" s="14"/>
      <c r="E28" s="14" t="n">
        <f aca="false">_xlfn.IFS(C28 &gt; 0.95, 31, C28 &gt; 0.9, 30, C28 &gt; 0.85,  29, C28 &gt; 0.8, 27, C28 &gt; 0.75, 26, C28 &gt; 0.7, 25, C28 &gt; 0.65, 24, C28 &gt; 0.6 , 23, C28 &gt; 0.55 , 22, C28 &gt; 0.5, 21, C28 &gt; 0.45, 20, C28 &gt; 0.4, 19, C28 &gt; 0.35, 18, C28 &lt;= 0.35, 0 )</f>
        <v>0</v>
      </c>
      <c r="F28" s="14"/>
    </row>
    <row r="29" customFormat="false" ht="12.8" hidden="false" customHeight="false" outlineLevel="0" collapsed="false">
      <c r="A29" s="14" t="n">
        <f aca="false">(Sheet1!B9)</f>
        <v>32.5</v>
      </c>
      <c r="B29" s="14" t="n">
        <f aca="false">(7/$G$2)</f>
        <v>0.11864406779661</v>
      </c>
      <c r="C29" s="14" t="n">
        <f aca="false">SUM($B29:$B$60)</f>
        <v>0.542372881355932</v>
      </c>
      <c r="D29" s="14" t="n">
        <v>22</v>
      </c>
      <c r="E29" s="14" t="n">
        <f aca="false">_xlfn.IFS(C29 &gt; 0.95, 31, C29 &gt; 0.9, 30, C29 &gt; 0.85,  29, C29 &gt; 0.8, 27, C29 &gt; 0.75, 26, C29 &gt; 0.7, 25, C29 &gt; 0.65, 24, C29 &gt; 0.6 , 23, C29 &gt; 0.55 , 22, C29 &gt; 0.5, 21, C29 &gt; 0.45, 20, C29 &gt; 0.4, 19, C29 &gt; 0.35, 18, C29 &lt;= 0.35, 0 )</f>
        <v>21</v>
      </c>
      <c r="F29" s="14"/>
    </row>
    <row r="30" customFormat="false" ht="12.8" hidden="false" customHeight="false" outlineLevel="0" collapsed="false">
      <c r="A30" s="14" t="n">
        <f aca="false">(Sheet1!B20)</f>
        <v>20</v>
      </c>
      <c r="B30" s="14"/>
      <c r="C30" s="14"/>
      <c r="D30" s="14"/>
      <c r="E30" s="14" t="n">
        <f aca="false">_xlfn.IFS(C30 &gt; 0.95, 31, C30 &gt; 0.9, 30, C30 &gt; 0.85,  29, C30 &gt; 0.8, 27, C30 &gt; 0.75, 26, C30 &gt; 0.7, 25, C30 &gt; 0.65, 24, C30 &gt; 0.6 , 23, C30 &gt; 0.55 , 22, C30 &gt; 0.5, 21, C30 &gt; 0.45, 20, C30 &gt; 0.4, 19, C30 &gt; 0.35, 18, C30 &lt;= 0.35, 0 )</f>
        <v>0</v>
      </c>
      <c r="F30" s="14"/>
    </row>
    <row r="31" customFormat="false" ht="12.8" hidden="false" customHeight="false" outlineLevel="0" collapsed="false">
      <c r="A31" s="14" t="n">
        <f aca="false">(Sheet1!B22)</f>
        <v>33.75</v>
      </c>
      <c r="B31" s="14"/>
      <c r="C31" s="14"/>
      <c r="D31" s="14"/>
      <c r="E31" s="14" t="n">
        <f aca="false">_xlfn.IFS(C31 &gt; 0.95, 31, C31 &gt; 0.9, 30, C31 &gt; 0.85,  29, C31 &gt; 0.8, 27, C31 &gt; 0.75, 26, C31 &gt; 0.7, 25, C31 &gt; 0.65, 24, C31 &gt; 0.6 , 23, C31 &gt; 0.55 , 22, C31 &gt; 0.5, 21, C31 &gt; 0.45, 20, C31 &gt; 0.4, 19, C31 &gt; 0.35, 18, C31 &lt;= 0.35, 0 )</f>
        <v>0</v>
      </c>
      <c r="F31" s="14"/>
    </row>
    <row r="32" customFormat="false" ht="12.8" hidden="false" customHeight="false" outlineLevel="0" collapsed="false">
      <c r="A32" s="14" t="n">
        <f aca="false">(Sheet1!B23)</f>
        <v>37.5</v>
      </c>
      <c r="B32" s="14"/>
      <c r="C32" s="14"/>
      <c r="D32" s="14"/>
      <c r="E32" s="14" t="n">
        <f aca="false">_xlfn.IFS(C32 &gt; 0.95, 31, C32 &gt; 0.9, 30, C32 &gt; 0.85,  29, C32 &gt; 0.8, 27, C32 &gt; 0.75, 26, C32 &gt; 0.7, 25, C32 &gt; 0.65, 24, C32 &gt; 0.6 , 23, C32 &gt; 0.55 , 22, C32 &gt; 0.5, 21, C32 &gt; 0.45, 20, C32 &gt; 0.4, 19, C32 &gt; 0.35, 18, C32 &lt;= 0.35, 0 )</f>
        <v>0</v>
      </c>
      <c r="F32" s="14"/>
    </row>
    <row r="33" customFormat="false" ht="12.8" hidden="false" customHeight="false" outlineLevel="0" collapsed="false">
      <c r="A33" s="14" t="n">
        <f aca="false">(Sheet1!B28)</f>
        <v>37.5</v>
      </c>
      <c r="B33" s="14"/>
      <c r="C33" s="14"/>
      <c r="D33" s="14"/>
      <c r="E33" s="14" t="n">
        <f aca="false">_xlfn.IFS(C33 &gt; 0.95, 31, C33 &gt; 0.9, 30, C33 &gt; 0.85,  29, C33 &gt; 0.8, 27, C33 &gt; 0.75, 26, C33 &gt; 0.7, 25, C33 &gt; 0.65, 24, C33 &gt; 0.6 , 23, C33 &gt; 0.55 , 22, C33 &gt; 0.5, 21, C33 &gt; 0.45, 20, C33 &gt; 0.4, 19, C33 &gt; 0.35, 18, C33 &lt;= 0.35, 0 )</f>
        <v>0</v>
      </c>
      <c r="F33" s="14"/>
    </row>
    <row r="34" customFormat="false" ht="12.8" hidden="false" customHeight="false" outlineLevel="0" collapsed="false">
      <c r="A34" s="14" t="e">
        <f aca="false">(#REF!)</f>
        <v>#REF!</v>
      </c>
      <c r="B34" s="14"/>
      <c r="C34" s="14"/>
      <c r="D34" s="14"/>
      <c r="E34" s="14" t="n">
        <f aca="false">_xlfn.IFS(C34 &gt; 0.95, 31, C34 &gt; 0.9, 30, C34 &gt; 0.85,  29, C34 &gt; 0.8, 27, C34 &gt; 0.75, 26, C34 &gt; 0.7, 25, C34 &gt; 0.65, 24, C34 &gt; 0.6 , 23, C34 &gt; 0.55 , 22, C34 &gt; 0.5, 21, C34 &gt; 0.45, 20, C34 &gt; 0.4, 19, C34 &gt; 0.35, 18, C34 &lt;= 0.35, 0 )</f>
        <v>0</v>
      </c>
      <c r="F34" s="14"/>
    </row>
    <row r="35" customFormat="false" ht="12.8" hidden="false" customHeight="false" outlineLevel="0" collapsed="false">
      <c r="A35" s="14" t="e">
        <f aca="false">(#REF!)</f>
        <v>#REF!</v>
      </c>
      <c r="B35" s="14"/>
      <c r="C35" s="14"/>
      <c r="E35" s="14" t="n">
        <f aca="false">_xlfn.IFS(C35 &gt; 0.95, 31, C35 &gt; 0.9, 30, C35 &gt; 0.85,  29, C35 &gt; 0.8, 27, C35 &gt; 0.75, 26, C35 &gt; 0.7, 25, C35 &gt; 0.65, 24, C35 &gt; 0.6 , 23, C35 &gt; 0.55 , 22, C35 &gt; 0.5, 21, C35 &gt; 0.45, 20, C35 &gt; 0.4, 19, C35 &gt; 0.35, 18, C35 &lt;= 0.35, 0 )</f>
        <v>0</v>
      </c>
    </row>
    <row r="36" customFormat="false" ht="12.8" hidden="false" customHeight="false" outlineLevel="0" collapsed="false">
      <c r="A36" s="14" t="n">
        <f aca="false">(Sheet1!B24)</f>
        <v>76.5</v>
      </c>
      <c r="B36" s="14" t="n">
        <f aca="false">(4/$G$2)</f>
        <v>0.0677966101694915</v>
      </c>
      <c r="C36" s="14" t="n">
        <f aca="false">SUM($B36:$B$60)</f>
        <v>0.423728813559322</v>
      </c>
      <c r="D36" s="14" t="n">
        <v>20</v>
      </c>
      <c r="E36" s="14" t="n">
        <f aca="false">_xlfn.IFS(C36 &gt; 0.95, 31, C36 &gt; 0.9, 30, C36 &gt; 0.85,  29, C36 &gt; 0.8, 27, C36 &gt; 0.75, 26, C36 &gt; 0.7, 25, C36 &gt; 0.65, 24, C36 &gt; 0.6 , 23, C36 &gt; 0.55 , 22, C36 &gt; 0.5, 21, C36 &gt; 0.45, 20, C36 &gt; 0.4, 19, C36 &gt; 0.35, 18, C36 &lt;= 0.35, 0 )</f>
        <v>19</v>
      </c>
      <c r="F36" s="14"/>
    </row>
    <row r="37" customFormat="false" ht="12.8" hidden="false" customHeight="false" outlineLevel="0" collapsed="false">
      <c r="A37" s="14" t="n">
        <f aca="false">(Sheet1!B27)</f>
        <v>46.875</v>
      </c>
      <c r="B37" s="14"/>
      <c r="C37" s="14"/>
      <c r="D37" s="14"/>
      <c r="E37" s="14" t="n">
        <f aca="false">_xlfn.IFS(C37 &gt; 0.95, 31, C37 &gt; 0.9, 30, C37 &gt; 0.85,  29, C37 &gt; 0.8, 27, C37 &gt; 0.75, 26, C37 &gt; 0.7, 25, C37 &gt; 0.65, 24, C37 &gt; 0.6 , 23, C37 &gt; 0.55 , 22, C37 &gt; 0.5, 21, C37 &gt; 0.45, 20, C37 &gt; 0.4, 19, C37 &gt; 0.35, 18, C37 &lt;= 0.35, 0 )</f>
        <v>0</v>
      </c>
      <c r="F37" s="14"/>
    </row>
    <row r="38" customFormat="false" ht="12.8" hidden="false" customHeight="false" outlineLevel="0" collapsed="false">
      <c r="A38" s="14" t="e">
        <f aca="false">(#REF!)</f>
        <v>#REF!</v>
      </c>
      <c r="B38" s="14"/>
      <c r="C38" s="14"/>
      <c r="D38" s="14"/>
      <c r="E38" s="14" t="n">
        <f aca="false">_xlfn.IFS(C38 &gt; 0.95, 31, C38 &gt; 0.9, 30, C38 &gt; 0.85,  29, C38 &gt; 0.8, 27, C38 &gt; 0.75, 26, C38 &gt; 0.7, 25, C38 &gt; 0.65, 24, C38 &gt; 0.6 , 23, C38 &gt; 0.55 , 22, C38 &gt; 0.5, 21, C38 &gt; 0.45, 20, C38 &gt; 0.4, 19, C38 &gt; 0.35, 18, C38 &lt;= 0.35, 0 )</f>
        <v>0</v>
      </c>
      <c r="F38" s="14"/>
    </row>
    <row r="39" customFormat="false" ht="12.8" hidden="false" customHeight="false" outlineLevel="0" collapsed="false">
      <c r="A39" s="14" t="e">
        <f aca="false">(#REF!)</f>
        <v>#REF!</v>
      </c>
      <c r="B39" s="14"/>
      <c r="C39" s="14"/>
      <c r="D39" s="14"/>
      <c r="E39" s="14" t="n">
        <f aca="false">_xlfn.IFS(C39 &gt; 0.95, 31, C39 &gt; 0.9, 30, C39 &gt; 0.85,  29, C39 &gt; 0.8, 27, C39 &gt; 0.75, 26, C39 &gt; 0.7, 25, C39 &gt; 0.65, 24, C39 &gt; 0.6 , 23, C39 &gt; 0.55 , 22, C39 &gt; 0.5, 21, C39 &gt; 0.45, 20, C39 &gt; 0.4, 19, C39 &gt; 0.35, 18, C39 &lt;= 0.35, 0 )</f>
        <v>0</v>
      </c>
      <c r="F39" s="14"/>
    </row>
    <row r="40" customFormat="false" ht="12.8" hidden="false" customHeight="false" outlineLevel="0" collapsed="false">
      <c r="A40" s="14" t="n">
        <f aca="false">(Sheet1!B5)</f>
        <v>31.25</v>
      </c>
      <c r="B40" s="14" t="n">
        <f aca="false">(2/$G$2)</f>
        <v>0.0338983050847458</v>
      </c>
      <c r="C40" s="14" t="n">
        <f aca="false">SUM($B40:$B$60)</f>
        <v>0.355932203389831</v>
      </c>
      <c r="D40" s="14" t="n">
        <v>18</v>
      </c>
      <c r="E40" s="14" t="n">
        <f aca="false">_xlfn.IFS(C40 &gt; 0.95, 31, C40 &gt; 0.9, 30, C40 &gt; 0.85,  29, C40 &gt; 0.8, 27, C40 &gt; 0.75, 26, C40 &gt; 0.7, 25, C40 &gt; 0.65, 24, C40 &gt; 0.6 , 23, C40 &gt; 0.55 , 22, C40 &gt; 0.5, 21, C40 &gt; 0.45, 20, C40 &gt; 0.4, 19, C40 &gt; 0.35, 18, C40 &lt;= 0.35, 0 )</f>
        <v>18</v>
      </c>
      <c r="F40" s="14"/>
    </row>
    <row r="41" customFormat="false" ht="12.8" hidden="false" customHeight="false" outlineLevel="0" collapsed="false">
      <c r="A41" s="14" t="e">
        <f aca="false">(#REF!)</f>
        <v>#REF!</v>
      </c>
      <c r="B41" s="14"/>
      <c r="C41" s="14"/>
      <c r="E41" s="14" t="n">
        <f aca="false">_xlfn.IFS(C41 &gt; 0.95, 31, C41 &gt; 0.9, 30, C41 &gt; 0.85,  29, C41 &gt; 0.8, 27, C41 &gt; 0.75, 26, C41 &gt; 0.7, 25, C41 &gt; 0.65, 24, C41 &gt; 0.6 , 23, C41 &gt; 0.55 , 22, C41 &gt; 0.5, 21, C41 &gt; 0.45, 20, C41 &gt; 0.4, 19, C41 &gt; 0.35, 18, C41 &lt;= 0.35, 0 )</f>
        <v>0</v>
      </c>
    </row>
    <row r="42" customFormat="false" ht="12.8" hidden="false" customHeight="false" outlineLevel="0" collapsed="false">
      <c r="A42" s="14" t="n">
        <f aca="false">(Sheet1!B14)</f>
        <v>0</v>
      </c>
      <c r="B42" s="14" t="n">
        <f aca="false">(1/$G$2)</f>
        <v>0.0169491525423729</v>
      </c>
      <c r="C42" s="14" t="n">
        <f aca="false">SUM($B42:$B$60)</f>
        <v>0.322033898305085</v>
      </c>
      <c r="D42" s="14" t="n">
        <v>18</v>
      </c>
      <c r="E42" s="14" t="n">
        <f aca="false">_xlfn.IFS(C42 &gt; 0.95, 31, C42 &gt; 0.9, 30, C42 &gt; 0.85,  29, C42 &gt; 0.8, 27, C42 &gt; 0.75, 26, C42 &gt; 0.7, 25, C42 &gt; 0.65, 24, C42 &gt; 0.6 , 23, C42 &gt; 0.55 , 22, C42 &gt; 0.5, 21, C42 &gt; 0.45, 20, C42 &gt; 0.4, 19, C42 &gt; 0.35, 18, C42 &lt;= 0.35, 0 )</f>
        <v>0</v>
      </c>
      <c r="F42" s="14"/>
    </row>
    <row r="43" customFormat="false" ht="12.8" hidden="false" customHeight="false" outlineLevel="0" collapsed="false">
      <c r="A43" s="14" t="n">
        <f aca="false">(Sheet1!B12)</f>
        <v>20</v>
      </c>
      <c r="B43" s="14" t="n">
        <f aca="false">(3/$G$2)</f>
        <v>0.0508474576271187</v>
      </c>
      <c r="C43" s="14" t="n">
        <f aca="false">SUM($B43:$B$60)</f>
        <v>0.305084745762712</v>
      </c>
      <c r="D43" s="14" t="n">
        <v>0</v>
      </c>
      <c r="E43" s="14" t="n">
        <f aca="false">_xlfn.IFS(C43 &gt; 0.95, 31, C43 &gt; 0.9, 30, C43 &gt; 0.85,  29, C43 &gt; 0.8, 27, C43 &gt; 0.75, 26, C43 &gt; 0.7, 25, C43 &gt; 0.65, 24, C43 &gt; 0.6 , 23, C43 &gt; 0.55 , 22, C43 &gt; 0.5, 21, C43 &gt; 0.45, 20, C43 &gt; 0.4, 19, C43 &gt; 0.35, 18, C43 &lt;= 0.35, 0 )</f>
        <v>0</v>
      </c>
      <c r="F43" s="14"/>
    </row>
    <row r="44" customFormat="false" ht="12.8" hidden="false" customHeight="false" outlineLevel="0" collapsed="false">
      <c r="A44" s="14" t="e">
        <f aca="false">(#REF!)</f>
        <v>#REF!</v>
      </c>
      <c r="B44" s="14"/>
      <c r="C44" s="14"/>
      <c r="D44" s="14"/>
      <c r="E44" s="14" t="n">
        <f aca="false">_xlfn.IFS(C44 &gt; 0.95, 31, C44 &gt; 0.9, 30, C44 &gt; 0.85,  29, C44 &gt; 0.8, 27, C44 &gt; 0.75, 26, C44 &gt; 0.7, 25, C44 &gt; 0.65, 24, C44 &gt; 0.6 , 23, C44 &gt; 0.55 , 22, C44 &gt; 0.5, 21, C44 &gt; 0.45, 20, C44 &gt; 0.4, 19, C44 &gt; 0.35, 18, C44 &lt;= 0.35, 0 )</f>
        <v>0</v>
      </c>
      <c r="F44" s="14"/>
    </row>
    <row r="45" customFormat="false" ht="12.8" hidden="false" customHeight="false" outlineLevel="0" collapsed="false">
      <c r="A45" s="14" t="e">
        <f aca="false">(#REF!)</f>
        <v>#REF!</v>
      </c>
      <c r="B45" s="14"/>
      <c r="C45" s="14"/>
      <c r="D45" s="14"/>
      <c r="E45" s="14" t="n">
        <f aca="false">_xlfn.IFS(C45 &gt; 0.95, 31, C45 &gt; 0.9, 30, C45 &gt; 0.85,  29, C45 &gt; 0.8, 27, C45 &gt; 0.75, 26, C45 &gt; 0.7, 25, C45 &gt; 0.65, 24, C45 &gt; 0.6 , 23, C45 &gt; 0.55 , 22, C45 &gt; 0.5, 21, C45 &gt; 0.45, 20, C45 &gt; 0.4, 19, C45 &gt; 0.35, 18, C45 &lt;= 0.35, 0 )</f>
        <v>0</v>
      </c>
      <c r="F45" s="14"/>
    </row>
    <row r="46" customFormat="false" ht="12.8" hidden="false" customHeight="false" outlineLevel="0" collapsed="false">
      <c r="A46" s="14" t="e">
        <f aca="false">(#REF!)</f>
        <v>#REF!</v>
      </c>
      <c r="B46" s="14" t="n">
        <f aca="false">(2/$G$2)</f>
        <v>0.0338983050847458</v>
      </c>
      <c r="C46" s="14" t="n">
        <f aca="false">SUM($B46:$B$60)</f>
        <v>0.254237288135593</v>
      </c>
      <c r="D46" s="14" t="n">
        <v>0</v>
      </c>
      <c r="E46" s="14" t="n">
        <f aca="false">_xlfn.IFS(C46 &gt; 0.95, 31, C46 &gt; 0.9, 30, C46 &gt; 0.85,  29, C46 &gt; 0.8, 27, C46 &gt; 0.75, 26, C46 &gt; 0.7, 25, C46 &gt; 0.65, 24, C46 &gt; 0.6 , 23, C46 &gt; 0.55 , 22, C46 &gt; 0.5, 21, C46 &gt; 0.45, 20, C46 &gt; 0.4, 19, C46 &gt; 0.35, 18, C46 &lt;= 0.35, 0 )</f>
        <v>0</v>
      </c>
      <c r="F46" s="14"/>
    </row>
    <row r="47" customFormat="false" ht="12.8" hidden="false" customHeight="false" outlineLevel="0" collapsed="false">
      <c r="A47" s="14" t="e">
        <f aca="false">(#REF!)</f>
        <v>#REF!</v>
      </c>
      <c r="B47" s="14"/>
      <c r="C47" s="14"/>
      <c r="D47" s="14"/>
      <c r="E47" s="14" t="n">
        <f aca="false">_xlfn.IFS(C47 &gt; 0.95, 31, C47 &gt; 0.9, 30, C47 &gt; 0.85,  29, C47 &gt; 0.8, 27, C47 &gt; 0.75, 26, C47 &gt; 0.7, 25, C47 &gt; 0.65, 24, C47 &gt; 0.6 , 23, C47 &gt; 0.55 , 22, C47 &gt; 0.5, 21, C47 &gt; 0.45, 20, C47 &gt; 0.4, 19, C47 &gt; 0.35, 18, C47 &lt;= 0.35, 0 )</f>
        <v>0</v>
      </c>
      <c r="F47" s="14"/>
    </row>
    <row r="48" customFormat="false" ht="12.8" hidden="false" customHeight="false" outlineLevel="0" collapsed="false">
      <c r="A48" s="14" t="n">
        <f aca="false">(Sheet1!B4)</f>
        <v>87.5</v>
      </c>
      <c r="B48" s="14" t="n">
        <f aca="false">(13/$G$2)</f>
        <v>0.220338983050847</v>
      </c>
      <c r="C48" s="14" t="n">
        <f aca="false">SUM($B48:$B$60)</f>
        <v>0.220338983050847</v>
      </c>
      <c r="D48" s="14" t="n">
        <v>0</v>
      </c>
      <c r="E48" s="14" t="n">
        <f aca="false">_xlfn.IFS(C48 &gt; 0.95, 31, C48 &gt; 0.9, 30, C48 &gt; 0.85,  29, C48 &gt; 0.8, 27, C48 &gt; 0.75, 26, C48 &gt; 0.7, 25, C48 &gt; 0.65, 24, C48 &gt; 0.6 , 23, C48 &gt; 0.55 , 22, C48 &gt; 0.5, 21, C48 &gt; 0.45, 20, C48 &gt; 0.4, 19, C48 &gt; 0.35, 18, C48 &lt;= 0.35, 0 )</f>
        <v>0</v>
      </c>
      <c r="F48" s="14"/>
    </row>
    <row r="49" customFormat="false" ht="12.8" hidden="false" customHeight="false" outlineLevel="0" collapsed="false">
      <c r="A49" s="14" t="n">
        <f aca="false">(Sheet1!B11)</f>
        <v>75.5</v>
      </c>
      <c r="B49" s="14"/>
      <c r="C49" s="14"/>
      <c r="D49" s="14"/>
      <c r="E49" s="14"/>
      <c r="F49" s="14"/>
    </row>
    <row r="50" customFormat="false" ht="12.8" hidden="false" customHeight="false" outlineLevel="0" collapsed="false">
      <c r="A50" s="14" t="n">
        <f aca="false">(Sheet1!B15)</f>
        <v>87.5</v>
      </c>
      <c r="B50" s="14"/>
      <c r="C50" s="14"/>
      <c r="D50" s="14"/>
      <c r="E50" s="14"/>
      <c r="F50" s="14"/>
    </row>
    <row r="51" customFormat="false" ht="12.8" hidden="false" customHeight="false" outlineLevel="0" collapsed="false">
      <c r="A51" s="14" t="n">
        <f aca="false">(Sheet1!B19)</f>
        <v>81.25</v>
      </c>
      <c r="B51" s="14"/>
      <c r="C51" s="14"/>
      <c r="D51" s="14"/>
      <c r="E51" s="14"/>
      <c r="F51" s="14"/>
    </row>
    <row r="52" customFormat="false" ht="12.8" hidden="false" customHeight="false" outlineLevel="0" collapsed="false">
      <c r="A52" s="14" t="n">
        <f aca="false">(Sheet1!B25)</f>
        <v>44.25</v>
      </c>
      <c r="B52" s="14"/>
      <c r="C52" s="14"/>
      <c r="D52" s="14"/>
      <c r="E52" s="14"/>
      <c r="F52" s="14"/>
    </row>
    <row r="53" customFormat="false" ht="12.8" hidden="false" customHeight="false" outlineLevel="0" collapsed="false">
      <c r="A53" s="14" t="e">
        <f aca="false">(#REF!)</f>
        <v>#REF!</v>
      </c>
      <c r="B53" s="14"/>
      <c r="C53" s="14"/>
      <c r="D53" s="14"/>
      <c r="E53" s="14"/>
      <c r="F53" s="14"/>
    </row>
    <row r="54" customFormat="false" ht="12.8" hidden="false" customHeight="false" outlineLevel="0" collapsed="false">
      <c r="A54" s="14" t="e">
        <f aca="false">(#REF!)</f>
        <v>#REF!</v>
      </c>
      <c r="B54" s="14"/>
      <c r="C54" s="14"/>
      <c r="D54" s="14"/>
      <c r="E54" s="14"/>
      <c r="F54" s="14"/>
    </row>
    <row r="55" customFormat="false" ht="12.8" hidden="false" customHeight="false" outlineLevel="0" collapsed="false">
      <c r="A55" s="14" t="e">
        <f aca="false">(#REF!)</f>
        <v>#REF!</v>
      </c>
      <c r="B55" s="14"/>
      <c r="C55" s="14"/>
      <c r="D55" s="14"/>
      <c r="E55" s="14"/>
      <c r="F55" s="14"/>
    </row>
    <row r="56" customFormat="false" ht="12.8" hidden="false" customHeight="false" outlineLevel="0" collapsed="false">
      <c r="A56" s="14" t="e">
        <f aca="false">(#REF!)</f>
        <v>#REF!</v>
      </c>
      <c r="B56" s="14"/>
      <c r="C56" s="14"/>
      <c r="D56" s="14"/>
      <c r="E56" s="14"/>
      <c r="F56" s="14"/>
    </row>
    <row r="57" customFormat="false" ht="12.8" hidden="false" customHeight="false" outlineLevel="0" collapsed="false">
      <c r="A57" s="14" t="e">
        <f aca="false">(#REF!)</f>
        <v>#REF!</v>
      </c>
      <c r="B57" s="14"/>
      <c r="C57" s="14"/>
      <c r="D57" s="14"/>
      <c r="E57" s="14"/>
      <c r="F57" s="14"/>
    </row>
    <row r="58" customFormat="false" ht="12.8" hidden="false" customHeight="false" outlineLevel="0" collapsed="false">
      <c r="A58" s="14" t="e">
        <f aca="false">(#REF!)</f>
        <v>#REF!</v>
      </c>
      <c r="B58" s="14"/>
      <c r="C58" s="14"/>
    </row>
    <row r="59" customFormat="false" ht="12.8" hidden="false" customHeight="false" outlineLevel="0" collapsed="false">
      <c r="A59" s="14" t="e">
        <f aca="false">(#REF!)</f>
        <v>#REF!</v>
      </c>
      <c r="B59" s="14"/>
      <c r="C59" s="14"/>
    </row>
    <row r="60" customFormat="false" ht="12.8" hidden="false" customHeight="false" outlineLevel="0" collapsed="false">
      <c r="A60" s="14" t="e">
        <f aca="false">(#REF!)</f>
        <v>#REF!</v>
      </c>
      <c r="B60" s="14"/>
      <c r="C60" s="14"/>
    </row>
    <row r="61" customFormat="false" ht="12.8" hidden="false" customHeight="false" outlineLevel="0" collapsed="false">
      <c r="A61" s="14"/>
    </row>
    <row r="62" customFormat="false" ht="12.8" hidden="false" customHeight="false" outlineLevel="0" collapsed="false">
      <c r="A62" s="14"/>
    </row>
    <row r="63" customFormat="false" ht="12.8" hidden="false" customHeight="false" outlineLevel="0" collapsed="false">
      <c r="A63" s="14"/>
    </row>
    <row r="64" customFormat="false" ht="12.8" hidden="false" customHeight="false" outlineLevel="0" collapsed="false">
      <c r="A64" s="14"/>
    </row>
    <row r="65" customFormat="false" ht="12.8" hidden="false" customHeight="false" outlineLevel="0" collapsed="false">
      <c r="A65" s="14"/>
    </row>
    <row r="66" customFormat="false" ht="12.8" hidden="false" customHeight="false" outlineLevel="0" collapsed="false">
      <c r="A66" s="14"/>
    </row>
    <row r="67" customFormat="false" ht="12.8" hidden="false" customHeight="false" outlineLevel="0" collapsed="false">
      <c r="A67" s="14"/>
    </row>
    <row r="68" customFormat="false" ht="12.8" hidden="false" customHeight="false" outlineLevel="0" collapsed="false">
      <c r="A68" s="14"/>
    </row>
    <row r="69" customFormat="false" ht="12.8" hidden="false" customHeight="false" outlineLevel="0" collapsed="false">
      <c r="A69" s="14"/>
    </row>
    <row r="70" customFormat="false" ht="12.8" hidden="false" customHeight="false" outlineLevel="0" collapsed="false">
      <c r="A70" s="14"/>
    </row>
    <row r="71" customFormat="false" ht="12.8" hidden="false" customHeight="false" outlineLevel="0" collapsed="false">
      <c r="A71" s="14"/>
    </row>
    <row r="72" customFormat="false" ht="12.8" hidden="false" customHeight="false" outlineLevel="0" collapsed="false">
      <c r="A72" s="14"/>
    </row>
    <row r="73" customFormat="false" ht="12.8" hidden="false" customHeight="false" outlineLevel="0" collapsed="false">
      <c r="A73" s="14"/>
    </row>
    <row r="74" customFormat="false" ht="12.8" hidden="false" customHeight="false" outlineLevel="0" collapsed="false">
      <c r="A74" s="14"/>
    </row>
    <row r="75" customFormat="false" ht="12.8" hidden="false" customHeight="false" outlineLevel="0" collapsed="false">
      <c r="A75" s="14"/>
    </row>
    <row r="76" customFormat="false" ht="12.8" hidden="false" customHeight="false" outlineLevel="0" collapsed="false">
      <c r="A76" s="14"/>
    </row>
    <row r="77" customFormat="false" ht="12.8" hidden="false" customHeight="false" outlineLevel="0" collapsed="false">
      <c r="A77" s="14"/>
    </row>
    <row r="78" customFormat="false" ht="12.8" hidden="false" customHeight="false" outlineLevel="0" collapsed="false">
      <c r="A78" s="14"/>
    </row>
    <row r="79" customFormat="false" ht="12.8" hidden="false" customHeight="false" outlineLevel="0" collapsed="false">
      <c r="A79" s="14"/>
    </row>
    <row r="80" customFormat="false" ht="12.8" hidden="false" customHeight="false" outlineLevel="0" collapsed="false">
      <c r="A80" s="14"/>
    </row>
    <row r="81" customFormat="false" ht="12.8" hidden="false" customHeight="false" outlineLevel="0" collapsed="false">
      <c r="A81" s="14"/>
    </row>
    <row r="82" customFormat="false" ht="12.8" hidden="false" customHeight="false" outlineLevel="0" collapsed="false">
      <c r="A82" s="14"/>
    </row>
    <row r="83" customFormat="false" ht="12.8" hidden="false" customHeight="false" outlineLevel="0" collapsed="false">
      <c r="A83" s="14"/>
    </row>
    <row r="84" customFormat="false" ht="12.8" hidden="false" customHeight="false" outlineLevel="0" collapsed="false">
      <c r="A84" s="14"/>
    </row>
    <row r="85" customFormat="false" ht="12.8" hidden="false" customHeight="false" outlineLevel="0" collapsed="false">
      <c r="A85" s="14"/>
    </row>
    <row r="86" customFormat="false" ht="12.8" hidden="false" customHeight="false" outlineLevel="0" collapsed="false">
      <c r="A86" s="14"/>
    </row>
    <row r="87" customFormat="false" ht="12.8" hidden="false" customHeight="false" outlineLevel="0" collapsed="false">
      <c r="A87" s="14"/>
    </row>
    <row r="88" customFormat="false" ht="12.8" hidden="false" customHeight="false" outlineLevel="0" collapsed="false">
      <c r="A88" s="14"/>
    </row>
    <row r="89" customFormat="false" ht="12.8" hidden="false" customHeight="false" outlineLevel="0" collapsed="false">
      <c r="A89" s="14"/>
    </row>
    <row r="90" customFormat="false" ht="12.8" hidden="false" customHeight="false" outlineLevel="0" collapsed="false">
      <c r="A90" s="14"/>
    </row>
    <row r="91" customFormat="false" ht="12.8" hidden="false" customHeight="false" outlineLevel="0" collapsed="false">
      <c r="A91" s="14"/>
    </row>
    <row r="92" customFormat="false" ht="12.8" hidden="false" customHeight="false" outlineLevel="0" collapsed="false">
      <c r="A92" s="14"/>
    </row>
    <row r="93" customFormat="false" ht="12.8" hidden="false" customHeight="false" outlineLevel="0" collapsed="false">
      <c r="A93" s="14"/>
    </row>
    <row r="94" customFormat="false" ht="12.8" hidden="false" customHeight="false" outlineLevel="0" collapsed="false">
      <c r="A94" s="14"/>
    </row>
    <row r="95" customFormat="false" ht="12.8" hidden="false" customHeight="false" outlineLevel="0" collapsed="false">
      <c r="A95" s="14"/>
    </row>
    <row r="96" customFormat="false" ht="12.8" hidden="false" customHeight="false" outlineLevel="0" collapsed="false">
      <c r="A96" s="14"/>
    </row>
    <row r="97" customFormat="false" ht="12.8" hidden="false" customHeight="false" outlineLevel="0" collapsed="false">
      <c r="A97" s="14"/>
    </row>
    <row r="98" customFormat="false" ht="12.8" hidden="false" customHeight="false" outlineLevel="0" collapsed="false">
      <c r="A98" s="14"/>
    </row>
    <row r="99" customFormat="false" ht="12.8" hidden="false" customHeight="false" outlineLevel="0" collapsed="false">
      <c r="A99" s="14"/>
    </row>
    <row r="100" customFormat="false" ht="12.8" hidden="false" customHeight="false" outlineLevel="0" collapsed="false">
      <c r="A100" s="14"/>
    </row>
    <row r="101" customFormat="false" ht="12.8" hidden="false" customHeight="false" outlineLevel="0" collapsed="false">
      <c r="A101" s="14"/>
    </row>
    <row r="102" customFormat="false" ht="12.8" hidden="false" customHeight="false" outlineLevel="0" collapsed="false">
      <c r="A102" s="14"/>
    </row>
    <row r="103" customFormat="false" ht="12.8" hidden="false" customHeight="false" outlineLevel="0" collapsed="false">
      <c r="A103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1" activeCellId="1" sqref="4:4 A21"/>
    </sheetView>
  </sheetViews>
  <sheetFormatPr defaultColWidth="11.625" defaultRowHeight="12.8" zeroHeight="false" outlineLevelRow="0" outlineLevelCol="0"/>
  <sheetData>
    <row r="1" customFormat="false" ht="12.8" hidden="false" customHeight="false" outlineLevel="0" collapsed="false">
      <c r="A1" s="14" t="s">
        <v>23</v>
      </c>
      <c r="B1" s="14" t="s">
        <v>24</v>
      </c>
      <c r="C1" s="14" t="s">
        <v>25</v>
      </c>
    </row>
    <row r="2" customFormat="false" ht="12.8" hidden="false" customHeight="false" outlineLevel="0" collapsed="false">
      <c r="A2" s="14" t="n">
        <v>0.95</v>
      </c>
      <c r="B2" s="14" t="n">
        <v>1</v>
      </c>
      <c r="C2" s="14" t="n">
        <v>31</v>
      </c>
    </row>
    <row r="3" customFormat="false" ht="12.8" hidden="false" customHeight="false" outlineLevel="0" collapsed="false">
      <c r="A3" s="14" t="n">
        <v>0.9</v>
      </c>
      <c r="B3" s="14" t="n">
        <v>0.95</v>
      </c>
      <c r="C3" s="14" t="n">
        <f aca="false">(C2 -1)</f>
        <v>30</v>
      </c>
    </row>
    <row r="4" customFormat="false" ht="12.8" hidden="false" customHeight="false" outlineLevel="0" collapsed="false">
      <c r="A4" s="14" t="n">
        <v>0.85</v>
      </c>
      <c r="B4" s="14" t="n">
        <v>0.9</v>
      </c>
      <c r="C4" s="14" t="n">
        <f aca="false">(C3 -1)</f>
        <v>29</v>
      </c>
    </row>
    <row r="5" customFormat="false" ht="12.8" hidden="false" customHeight="false" outlineLevel="0" collapsed="false">
      <c r="A5" s="14" t="n">
        <v>0.8</v>
      </c>
      <c r="B5" s="14" t="n">
        <v>0.85</v>
      </c>
      <c r="C5" s="14" t="n">
        <f aca="false">(C4 -1)</f>
        <v>28</v>
      </c>
    </row>
    <row r="6" customFormat="false" ht="12.8" hidden="false" customHeight="false" outlineLevel="0" collapsed="false">
      <c r="A6" s="14" t="n">
        <v>0.75</v>
      </c>
      <c r="B6" s="14" t="n">
        <v>0.8</v>
      </c>
      <c r="C6" s="14" t="n">
        <f aca="false">(C5 -1)</f>
        <v>27</v>
      </c>
    </row>
    <row r="7" customFormat="false" ht="12.8" hidden="false" customHeight="false" outlineLevel="0" collapsed="false">
      <c r="A7" s="14" t="n">
        <v>0.7</v>
      </c>
      <c r="B7" s="14" t="n">
        <v>0.75</v>
      </c>
      <c r="C7" s="14" t="n">
        <f aca="false">(C6 -1)</f>
        <v>26</v>
      </c>
    </row>
    <row r="8" customFormat="false" ht="12.8" hidden="false" customHeight="false" outlineLevel="0" collapsed="false">
      <c r="A8" s="14" t="n">
        <v>0.65</v>
      </c>
      <c r="B8" s="14" t="n">
        <v>0.7</v>
      </c>
      <c r="C8" s="14" t="n">
        <f aca="false">(C7 -1)</f>
        <v>25</v>
      </c>
    </row>
    <row r="9" customFormat="false" ht="12.8" hidden="false" customHeight="false" outlineLevel="0" collapsed="false">
      <c r="A9" s="14" t="n">
        <v>0.6</v>
      </c>
      <c r="B9" s="14" t="n">
        <v>0.65</v>
      </c>
      <c r="C9" s="14" t="n">
        <f aca="false">(C8 -1)</f>
        <v>24</v>
      </c>
    </row>
    <row r="10" customFormat="false" ht="12.8" hidden="false" customHeight="false" outlineLevel="0" collapsed="false">
      <c r="A10" s="14" t="n">
        <v>0.55</v>
      </c>
      <c r="B10" s="14" t="n">
        <v>0.6</v>
      </c>
      <c r="C10" s="14" t="n">
        <f aca="false">(C9 -1)</f>
        <v>23</v>
      </c>
    </row>
    <row r="11" customFormat="false" ht="12.8" hidden="false" customHeight="false" outlineLevel="0" collapsed="false">
      <c r="A11" s="14" t="n">
        <v>0.5</v>
      </c>
      <c r="B11" s="14" t="n">
        <v>0.55</v>
      </c>
      <c r="C11" s="14" t="n">
        <f aca="false">(C10 -1)</f>
        <v>22</v>
      </c>
    </row>
    <row r="12" customFormat="false" ht="12.8" hidden="false" customHeight="false" outlineLevel="0" collapsed="false">
      <c r="A12" s="14" t="n">
        <v>0.45</v>
      </c>
      <c r="B12" s="14" t="n">
        <v>0.5</v>
      </c>
      <c r="C12" s="14" t="n">
        <f aca="false">(C11 -1)</f>
        <v>21</v>
      </c>
    </row>
    <row r="13" customFormat="false" ht="12.8" hidden="false" customHeight="false" outlineLevel="0" collapsed="false">
      <c r="A13" s="14" t="n">
        <v>0.4</v>
      </c>
      <c r="B13" s="14" t="n">
        <v>0.45</v>
      </c>
      <c r="C13" s="14" t="n">
        <f aca="false">(C12 -1)</f>
        <v>20</v>
      </c>
    </row>
    <row r="14" customFormat="false" ht="12.8" hidden="false" customHeight="false" outlineLevel="0" collapsed="false">
      <c r="A14" s="14" t="n">
        <v>0.35</v>
      </c>
      <c r="B14" s="14" t="n">
        <v>0.4</v>
      </c>
      <c r="C14" s="14" t="n">
        <f aca="false">(C13 -1)</f>
        <v>19</v>
      </c>
    </row>
    <row r="15" customFormat="false" ht="12.8" hidden="false" customHeight="false" outlineLevel="0" collapsed="false">
      <c r="A15" s="14" t="n">
        <v>0.3</v>
      </c>
      <c r="B15" s="14" t="n">
        <v>0.35</v>
      </c>
      <c r="C15" s="14" t="n">
        <f aca="false">(C14 -1)</f>
        <v>18</v>
      </c>
    </row>
    <row r="16" customFormat="false" ht="12.8" hidden="false" customHeight="false" outlineLevel="0" collapsed="false">
      <c r="A16" s="14" t="n">
        <v>0</v>
      </c>
      <c r="B16" s="14" t="n">
        <v>0.3</v>
      </c>
      <c r="C16" s="14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B1" activeCellId="1" sqref="4:4 B1"/>
    </sheetView>
  </sheetViews>
  <sheetFormatPr defaultColWidth="11.625" defaultRowHeight="12.8" zeroHeight="false" outlineLevelRow="0" outlineLevelCol="0"/>
  <cols>
    <col collapsed="false" customWidth="true" hidden="false" outlineLevel="0" max="1" min="1" style="14" width="11.19"/>
    <col collapsed="false" customWidth="true" hidden="false" outlineLevel="0" max="2" min="2" style="14" width="8.9"/>
  </cols>
  <sheetData>
    <row r="1" customFormat="false" ht="12.8" hidden="false" customHeight="false" outlineLevel="0" collapsed="false">
      <c r="A1" s="13"/>
      <c r="B1" s="13"/>
    </row>
    <row r="2" customFormat="false" ht="12.8" hidden="false" customHeight="false" outlineLevel="0" collapsed="false">
      <c r="A2" s="13" t="s">
        <v>26</v>
      </c>
      <c r="B2" s="13" t="s">
        <v>7</v>
      </c>
    </row>
    <row r="3" customFormat="false" ht="12.8" hidden="false" customHeight="false" outlineLevel="0" collapsed="false">
      <c r="A3" s="14" t="n">
        <v>2046542</v>
      </c>
      <c r="B3" s="14" t="n">
        <v>20</v>
      </c>
    </row>
    <row r="4" customFormat="false" ht="12.8" hidden="false" customHeight="false" outlineLevel="0" collapsed="false">
      <c r="A4" s="14" t="n">
        <v>2041850</v>
      </c>
      <c r="B4" s="14" t="n">
        <v>100</v>
      </c>
    </row>
    <row r="5" customFormat="false" ht="12.8" hidden="false" customHeight="false" outlineLevel="0" collapsed="false">
      <c r="A5" s="14" t="n">
        <v>2083154</v>
      </c>
      <c r="B5" s="14" t="n">
        <v>100</v>
      </c>
    </row>
    <row r="6" customFormat="false" ht="12.8" hidden="false" customHeight="false" outlineLevel="0" collapsed="false">
      <c r="A6" s="14" t="n">
        <v>1760206</v>
      </c>
      <c r="B6" s="14" t="n">
        <v>22</v>
      </c>
    </row>
    <row r="7" customFormat="false" ht="12.8" hidden="false" customHeight="false" outlineLevel="0" collapsed="false">
      <c r="A7" s="14" t="n">
        <v>2047604</v>
      </c>
      <c r="B7" s="14" t="n">
        <v>64</v>
      </c>
    </row>
    <row r="8" customFormat="false" ht="12.8" hidden="false" customHeight="false" outlineLevel="0" collapsed="false">
      <c r="A8" s="14" t="n">
        <v>2045899</v>
      </c>
      <c r="B8" s="14" t="n">
        <v>20</v>
      </c>
    </row>
    <row r="9" customFormat="false" ht="12.8" hidden="false" customHeight="false" outlineLevel="0" collapsed="false">
      <c r="A9" s="14" t="n">
        <v>1810132</v>
      </c>
      <c r="B9" s="14" t="n">
        <v>0</v>
      </c>
    </row>
    <row r="10" customFormat="false" ht="12.8" hidden="false" customHeight="false" outlineLevel="0" collapsed="false">
      <c r="A10" s="14" t="n">
        <v>2047145</v>
      </c>
      <c r="B10" s="14" t="n">
        <v>44</v>
      </c>
    </row>
    <row r="11" customFormat="false" ht="12.8" hidden="false" customHeight="false" outlineLevel="0" collapsed="false">
      <c r="A11" s="14" t="n">
        <v>2015518</v>
      </c>
      <c r="B11" s="14" t="n">
        <v>10</v>
      </c>
    </row>
    <row r="12" customFormat="false" ht="12.8" hidden="false" customHeight="false" outlineLevel="0" collapsed="false">
      <c r="A12" s="14" t="n">
        <v>2050059</v>
      </c>
      <c r="B12" s="14" t="n">
        <v>82</v>
      </c>
    </row>
    <row r="13" customFormat="false" ht="12.8" hidden="false" customHeight="false" outlineLevel="0" collapsed="false">
      <c r="A13" s="14" t="n">
        <v>2066344</v>
      </c>
      <c r="B13" s="14" t="n">
        <v>0</v>
      </c>
    </row>
    <row r="14" customFormat="false" ht="12.8" hidden="false" customHeight="false" outlineLevel="0" collapsed="false">
      <c r="A14" s="14" t="n">
        <v>1888625</v>
      </c>
      <c r="B14" s="14" t="n">
        <v>54</v>
      </c>
    </row>
    <row r="15" customFormat="false" ht="12.8" hidden="false" customHeight="false" outlineLevel="0" collapsed="false">
      <c r="A15" s="14" t="n">
        <v>1771849</v>
      </c>
      <c r="B15" s="14" t="n">
        <v>42</v>
      </c>
    </row>
    <row r="16" customFormat="false" ht="12.8" hidden="false" customHeight="false" outlineLevel="0" collapsed="false">
      <c r="A16" s="14" t="n">
        <v>2058986</v>
      </c>
      <c r="B16" s="14" t="n">
        <v>10</v>
      </c>
    </row>
    <row r="17" customFormat="false" ht="12.8" hidden="false" customHeight="false" outlineLevel="0" collapsed="false">
      <c r="A17" s="14" t="n">
        <v>2059802</v>
      </c>
      <c r="B17" s="14" t="n">
        <v>4</v>
      </c>
    </row>
    <row r="18" customFormat="false" ht="12.8" hidden="false" customHeight="false" outlineLevel="0" collapsed="false">
      <c r="A18" s="14" t="n">
        <v>2062810</v>
      </c>
      <c r="B18" s="14" t="n">
        <v>62</v>
      </c>
    </row>
    <row r="19" customFormat="false" ht="12.8" hidden="false" customHeight="false" outlineLevel="0" collapsed="false">
      <c r="A19" s="14" t="n">
        <v>2045928</v>
      </c>
      <c r="B19" s="14" t="n">
        <v>84</v>
      </c>
    </row>
    <row r="20" customFormat="false" ht="12.8" hidden="false" customHeight="false" outlineLevel="0" collapsed="false">
      <c r="A20" s="14" t="n">
        <v>2066523</v>
      </c>
      <c r="B20" s="14" t="n">
        <v>46</v>
      </c>
    </row>
    <row r="21" customFormat="false" ht="12.8" hidden="false" customHeight="false" outlineLevel="0" collapsed="false">
      <c r="A21" s="14" t="n">
        <v>2063098</v>
      </c>
      <c r="B21" s="14" t="n">
        <v>0</v>
      </c>
    </row>
    <row r="22" customFormat="false" ht="12.8" hidden="false" customHeight="false" outlineLevel="0" collapsed="false">
      <c r="A22" s="14" t="n">
        <v>2060085</v>
      </c>
      <c r="B22" s="14" t="n">
        <v>2</v>
      </c>
    </row>
    <row r="23" customFormat="false" ht="12.8" hidden="false" customHeight="false" outlineLevel="0" collapsed="false">
      <c r="A23" s="14" t="n">
        <v>2046475</v>
      </c>
      <c r="B23" s="14" t="n">
        <v>60</v>
      </c>
    </row>
    <row r="24" customFormat="false" ht="12.8" hidden="false" customHeight="false" outlineLevel="0" collapsed="false">
      <c r="A24" s="14" t="n">
        <v>1986385</v>
      </c>
      <c r="B24" s="14" t="n">
        <v>48</v>
      </c>
    </row>
    <row r="25" customFormat="false" ht="12.8" hidden="false" customHeight="false" outlineLevel="0" collapsed="false">
      <c r="A25" s="14" t="n">
        <v>2046000</v>
      </c>
      <c r="B25" s="14" t="n">
        <v>10.8</v>
      </c>
    </row>
    <row r="26" customFormat="false" ht="12.8" hidden="false" customHeight="false" outlineLevel="0" collapsed="false">
      <c r="A26" s="14" t="n">
        <v>2060573</v>
      </c>
      <c r="B26" s="14" t="n">
        <v>44</v>
      </c>
    </row>
    <row r="27" customFormat="false" ht="12.8" hidden="false" customHeight="false" outlineLevel="0" collapsed="false">
      <c r="A27" s="14" t="n">
        <v>204432</v>
      </c>
      <c r="B27" s="14" t="n">
        <v>0</v>
      </c>
    </row>
    <row r="28" customFormat="false" ht="12.8" hidden="false" customHeight="false" outlineLevel="0" collapsed="false">
      <c r="A28" s="14" t="n">
        <v>2045982</v>
      </c>
      <c r="B28" s="14" t="n">
        <v>24</v>
      </c>
    </row>
    <row r="29" customFormat="false" ht="12.8" hidden="false" customHeight="false" outlineLevel="0" collapsed="false">
      <c r="A29" s="14" t="n">
        <v>1994583</v>
      </c>
      <c r="B29" s="14" t="n">
        <v>18</v>
      </c>
    </row>
    <row r="30" customFormat="false" ht="12.8" hidden="false" customHeight="false" outlineLevel="0" collapsed="false">
      <c r="A30" s="14" t="n">
        <v>2046212</v>
      </c>
      <c r="B30" s="14" t="n">
        <v>20</v>
      </c>
    </row>
    <row r="31" customFormat="false" ht="12.8" hidden="false" customHeight="false" outlineLevel="0" collapsed="false">
      <c r="A31" s="14" t="n">
        <v>2182157</v>
      </c>
      <c r="B31" s="14" t="n">
        <v>22</v>
      </c>
    </row>
    <row r="32" customFormat="false" ht="12.8" hidden="false" customHeight="false" outlineLevel="0" collapsed="false">
      <c r="A32" s="14" t="n">
        <v>2009650</v>
      </c>
      <c r="B32" s="14" t="n">
        <v>4</v>
      </c>
    </row>
    <row r="33" customFormat="false" ht="12.8" hidden="false" customHeight="false" outlineLevel="0" collapsed="false">
      <c r="A33" s="14" t="n">
        <v>2046234</v>
      </c>
      <c r="B33" s="14" t="n">
        <v>26</v>
      </c>
    </row>
    <row r="34" customFormat="false" ht="12.8" hidden="false" customHeight="false" outlineLevel="0" collapsed="false">
      <c r="A34" s="14" t="n">
        <v>2086047</v>
      </c>
      <c r="B34" s="14" t="n">
        <v>8</v>
      </c>
    </row>
    <row r="35" customFormat="false" ht="12.8" hidden="false" customHeight="false" outlineLevel="0" collapsed="false">
      <c r="A35" s="14" t="n">
        <v>2043878</v>
      </c>
      <c r="B35" s="14" t="n">
        <v>92</v>
      </c>
    </row>
    <row r="36" customFormat="false" ht="12.8" hidden="false" customHeight="false" outlineLevel="0" collapsed="false">
      <c r="A36" s="14" t="n">
        <v>2025352</v>
      </c>
      <c r="B36" s="14" t="n">
        <v>60</v>
      </c>
    </row>
    <row r="37" customFormat="false" ht="12.8" hidden="false" customHeight="false" outlineLevel="0" collapsed="false">
      <c r="A37" s="14" t="n">
        <v>1895077</v>
      </c>
      <c r="B37" s="14" t="n">
        <v>34</v>
      </c>
    </row>
    <row r="38" customFormat="false" ht="12.8" hidden="false" customHeight="false" outlineLevel="0" collapsed="false">
      <c r="A38" s="14" t="n">
        <v>2042904</v>
      </c>
      <c r="B38" s="14" t="n">
        <v>28</v>
      </c>
    </row>
    <row r="39" customFormat="false" ht="12.8" hidden="false" customHeight="false" outlineLevel="0" collapsed="false">
      <c r="A39" s="14" t="n">
        <v>2046501</v>
      </c>
      <c r="B39" s="14" t="n">
        <v>28</v>
      </c>
    </row>
    <row r="40" customFormat="false" ht="12.8" hidden="false" customHeight="false" outlineLevel="0" collapsed="false">
      <c r="A40" s="14" t="n">
        <v>2083011</v>
      </c>
      <c r="B40" s="14" t="n">
        <v>14</v>
      </c>
    </row>
    <row r="41" customFormat="false" ht="12.8" hidden="false" customHeight="false" outlineLevel="0" collapsed="false">
      <c r="A41" s="14" t="n">
        <v>2034930</v>
      </c>
      <c r="B41" s="14" t="n">
        <v>0</v>
      </c>
    </row>
    <row r="42" customFormat="false" ht="12.8" hidden="false" customHeight="false" outlineLevel="0" collapsed="false">
      <c r="A42" s="14" t="n">
        <v>2061343</v>
      </c>
      <c r="B42" s="14" t="n">
        <v>22</v>
      </c>
    </row>
    <row r="43" customFormat="false" ht="12.8" hidden="false" customHeight="false" outlineLevel="0" collapsed="false">
      <c r="A43" s="14" t="n">
        <v>2052800</v>
      </c>
      <c r="B43" s="14" t="n">
        <v>76</v>
      </c>
    </row>
    <row r="44" customFormat="false" ht="12.8" hidden="false" customHeight="false" outlineLevel="0" collapsed="false">
      <c r="A44" s="14" t="n">
        <v>1884714</v>
      </c>
      <c r="B44" s="14" t="n">
        <v>10</v>
      </c>
    </row>
    <row r="45" customFormat="false" ht="12.8" hidden="false" customHeight="false" outlineLevel="0" collapsed="false">
      <c r="A45" s="14" t="n">
        <v>1884742</v>
      </c>
      <c r="B45" s="14" t="n">
        <v>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6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C16" activeCellId="1" sqref="4:4 C16"/>
    </sheetView>
  </sheetViews>
  <sheetFormatPr defaultColWidth="11.625" defaultRowHeight="12.8" zeroHeight="false" outlineLevelRow="0" outlineLevelCol="0"/>
  <sheetData>
    <row r="2" customFormat="false" ht="12.8" hidden="false" customHeight="false" outlineLevel="0" collapsed="false">
      <c r="A2" s="14" t="s">
        <v>26</v>
      </c>
      <c r="B2" s="14" t="s">
        <v>7</v>
      </c>
    </row>
    <row r="3" customFormat="false" ht="12.8" hidden="false" customHeight="false" outlineLevel="0" collapsed="false">
      <c r="A3" s="14" t="n">
        <v>2068261</v>
      </c>
      <c r="B3" s="14" t="n">
        <v>0</v>
      </c>
    </row>
    <row r="4" customFormat="false" ht="12.8" hidden="false" customHeight="false" outlineLevel="0" collapsed="false">
      <c r="A4" s="14" t="n">
        <v>2045899</v>
      </c>
      <c r="B4" s="14" t="n">
        <v>12</v>
      </c>
    </row>
    <row r="5" customFormat="false" ht="12.8" hidden="false" customHeight="false" outlineLevel="0" collapsed="false">
      <c r="A5" s="14" t="n">
        <v>1948382</v>
      </c>
      <c r="B5" s="14" t="n">
        <v>56</v>
      </c>
    </row>
    <row r="6" customFormat="false" ht="12.8" hidden="false" customHeight="false" outlineLevel="0" collapsed="false">
      <c r="A6" s="14" t="n">
        <v>2047145</v>
      </c>
      <c r="B6" s="14" t="n">
        <v>88</v>
      </c>
    </row>
    <row r="7" customFormat="false" ht="12.8" hidden="false" customHeight="false" outlineLevel="0" collapsed="false">
      <c r="A7" s="14" t="n">
        <v>2045204</v>
      </c>
      <c r="B7" s="14" t="n">
        <v>72</v>
      </c>
    </row>
    <row r="8" customFormat="false" ht="12.8" hidden="false" customHeight="false" outlineLevel="0" collapsed="false">
      <c r="A8" s="14" t="n">
        <v>2015518</v>
      </c>
      <c r="B8" s="14" t="n">
        <v>20</v>
      </c>
    </row>
    <row r="9" customFormat="false" ht="12.8" hidden="false" customHeight="false" outlineLevel="0" collapsed="false">
      <c r="A9" s="14" t="n">
        <v>1991139</v>
      </c>
      <c r="B9" s="14" t="n">
        <v>36</v>
      </c>
    </row>
    <row r="10" customFormat="false" ht="12.8" hidden="false" customHeight="false" outlineLevel="0" collapsed="false">
      <c r="A10" s="14" t="n">
        <v>1933763</v>
      </c>
      <c r="B10" s="14" t="n">
        <v>0</v>
      </c>
    </row>
    <row r="11" customFormat="false" ht="12.8" hidden="false" customHeight="false" outlineLevel="0" collapsed="false">
      <c r="A11" s="14" t="n">
        <v>1894899</v>
      </c>
      <c r="B11" s="14" t="n">
        <v>8</v>
      </c>
    </row>
    <row r="12" customFormat="false" ht="12.8" hidden="false" customHeight="false" outlineLevel="0" collapsed="false">
      <c r="A12" s="14" t="n">
        <v>2087530</v>
      </c>
      <c r="B12" s="14" t="n">
        <v>28</v>
      </c>
    </row>
    <row r="13" customFormat="false" ht="12.8" hidden="false" customHeight="false" outlineLevel="0" collapsed="false">
      <c r="A13" s="14" t="n">
        <v>2049029</v>
      </c>
      <c r="B13" s="14" t="n">
        <v>10</v>
      </c>
    </row>
    <row r="14" customFormat="false" ht="12.8" hidden="false" customHeight="false" outlineLevel="0" collapsed="false">
      <c r="A14" s="14" t="n">
        <v>2059802</v>
      </c>
      <c r="B14" s="14" t="n">
        <v>0</v>
      </c>
    </row>
    <row r="15" customFormat="false" ht="12.8" hidden="false" customHeight="false" outlineLevel="0" collapsed="false">
      <c r="A15" s="14" t="n">
        <v>2061657</v>
      </c>
      <c r="B15" s="14" t="n">
        <v>40</v>
      </c>
    </row>
    <row r="16" customFormat="false" ht="12.8" hidden="false" customHeight="false" outlineLevel="0" collapsed="false">
      <c r="A16" s="14" t="n">
        <v>2045337</v>
      </c>
      <c r="B16" s="14" t="n">
        <v>72</v>
      </c>
    </row>
    <row r="17" customFormat="false" ht="12.8" hidden="false" customHeight="false" outlineLevel="0" collapsed="false">
      <c r="A17" s="14" t="n">
        <v>2086686</v>
      </c>
      <c r="B17" s="14" t="n">
        <v>28</v>
      </c>
    </row>
    <row r="18" customFormat="false" ht="12.8" hidden="false" customHeight="false" outlineLevel="0" collapsed="false">
      <c r="A18" s="14" t="n">
        <v>2085129</v>
      </c>
      <c r="B18" s="14" t="n">
        <v>0</v>
      </c>
    </row>
    <row r="19" customFormat="false" ht="12.8" hidden="false" customHeight="false" outlineLevel="0" collapsed="false">
      <c r="A19" s="14" t="n">
        <v>2010731</v>
      </c>
      <c r="B19" s="14" t="n">
        <v>20</v>
      </c>
    </row>
    <row r="20" customFormat="false" ht="12.8" hidden="false" customHeight="false" outlineLevel="0" collapsed="false">
      <c r="A20" s="14" t="n">
        <v>2067188</v>
      </c>
      <c r="B20" s="14" t="n">
        <v>64</v>
      </c>
    </row>
    <row r="21" customFormat="false" ht="12.8" hidden="false" customHeight="false" outlineLevel="0" collapsed="false">
      <c r="A21" s="14" t="n">
        <v>2063098</v>
      </c>
      <c r="B21" s="14" t="n">
        <v>20</v>
      </c>
    </row>
    <row r="22" customFormat="false" ht="12.8" hidden="false" customHeight="false" outlineLevel="0" collapsed="false">
      <c r="A22" s="14" t="n">
        <v>2059337</v>
      </c>
      <c r="B22" s="14" t="n">
        <v>20</v>
      </c>
    </row>
    <row r="23" customFormat="false" ht="12.8" hidden="false" customHeight="false" outlineLevel="0" collapsed="false">
      <c r="A23" s="14" t="n">
        <v>1933070</v>
      </c>
      <c r="B23" s="14" t="n">
        <v>16</v>
      </c>
    </row>
    <row r="24" customFormat="false" ht="12.8" hidden="false" customHeight="false" outlineLevel="0" collapsed="false">
      <c r="A24" s="14" t="n">
        <v>1943337</v>
      </c>
      <c r="B24" s="14" t="n">
        <v>0</v>
      </c>
    </row>
    <row r="25" customFormat="false" ht="12.8" hidden="false" customHeight="false" outlineLevel="0" collapsed="false">
      <c r="A25" s="14" t="n">
        <v>2006305</v>
      </c>
      <c r="B25" s="14" t="n">
        <v>60</v>
      </c>
    </row>
    <row r="26" customFormat="false" ht="12.8" hidden="false" customHeight="false" outlineLevel="0" collapsed="false">
      <c r="A26" s="14" t="n">
        <v>2044147</v>
      </c>
      <c r="B26" s="14" t="n">
        <v>16</v>
      </c>
    </row>
    <row r="27" customFormat="false" ht="12.8" hidden="false" customHeight="false" outlineLevel="0" collapsed="false">
      <c r="A27" s="14" t="n">
        <v>1944917</v>
      </c>
      <c r="B27" s="14" t="n">
        <v>20</v>
      </c>
    </row>
    <row r="28" customFormat="false" ht="12.8" hidden="false" customHeight="false" outlineLevel="0" collapsed="false">
      <c r="A28" s="14" t="n">
        <v>1996623</v>
      </c>
      <c r="B28" s="14" t="n">
        <v>16</v>
      </c>
    </row>
    <row r="29" customFormat="false" ht="12.8" hidden="false" customHeight="false" outlineLevel="0" collapsed="false">
      <c r="A29" s="14" t="n">
        <v>2047034</v>
      </c>
      <c r="B29" s="14" t="n">
        <v>48</v>
      </c>
    </row>
    <row r="30" customFormat="false" ht="12.8" hidden="false" customHeight="false" outlineLevel="0" collapsed="false">
      <c r="A30" s="14" t="n">
        <v>2058986</v>
      </c>
      <c r="B30" s="14" t="n">
        <v>60</v>
      </c>
    </row>
    <row r="31" customFormat="false" ht="12.8" hidden="false" customHeight="false" outlineLevel="0" collapsed="false">
      <c r="A31" s="14" t="n">
        <v>2060444</v>
      </c>
      <c r="B31" s="14" t="n">
        <v>0</v>
      </c>
    </row>
    <row r="32" customFormat="false" ht="12.8" hidden="false" customHeight="false" outlineLevel="0" collapsed="false">
      <c r="A32" s="14" t="n">
        <v>2070317</v>
      </c>
      <c r="B32" s="14" t="n">
        <v>0</v>
      </c>
    </row>
    <row r="33" customFormat="false" ht="12.8" hidden="false" customHeight="false" outlineLevel="0" collapsed="false">
      <c r="A33" s="14" t="n">
        <v>2046738</v>
      </c>
      <c r="B33" s="14" t="n">
        <v>8</v>
      </c>
    </row>
    <row r="34" customFormat="false" ht="12.8" hidden="false" customHeight="false" outlineLevel="0" collapsed="false">
      <c r="A34" s="14" t="n">
        <v>2046000</v>
      </c>
      <c r="B34" s="14" t="n">
        <v>20</v>
      </c>
    </row>
    <row r="35" customFormat="false" ht="12.8" hidden="false" customHeight="false" outlineLevel="0" collapsed="false">
      <c r="A35" s="14" t="n">
        <v>2043415</v>
      </c>
      <c r="B35" s="14" t="n">
        <v>24</v>
      </c>
    </row>
    <row r="36" customFormat="false" ht="12.8" hidden="false" customHeight="false" outlineLevel="0" collapsed="false">
      <c r="A36" s="14" t="n">
        <v>2043364</v>
      </c>
      <c r="B36" s="14" t="n">
        <v>0</v>
      </c>
    </row>
    <row r="37" customFormat="false" ht="12.8" hidden="false" customHeight="false" outlineLevel="0" collapsed="false">
      <c r="A37" s="14" t="n">
        <v>2044032</v>
      </c>
      <c r="B37" s="14" t="n">
        <v>36</v>
      </c>
    </row>
    <row r="38" customFormat="false" ht="12.8" hidden="false" customHeight="false" outlineLevel="0" collapsed="false">
      <c r="A38" s="14" t="n">
        <v>2009905</v>
      </c>
      <c r="B38" s="14" t="n">
        <v>36</v>
      </c>
    </row>
    <row r="39" customFormat="false" ht="12.8" hidden="false" customHeight="false" outlineLevel="0" collapsed="false">
      <c r="A39" s="14" t="n">
        <v>2069217</v>
      </c>
      <c r="B39" s="14" t="n">
        <v>40</v>
      </c>
    </row>
    <row r="40" customFormat="false" ht="12.8" hidden="false" customHeight="false" outlineLevel="0" collapsed="false">
      <c r="A40" s="14" t="n">
        <v>1994583</v>
      </c>
      <c r="B40" s="14" t="n">
        <v>44</v>
      </c>
    </row>
    <row r="41" customFormat="false" ht="12.8" hidden="false" customHeight="false" outlineLevel="0" collapsed="false">
      <c r="A41" s="14" t="n">
        <v>2025557</v>
      </c>
      <c r="B41" s="14" t="n">
        <v>0</v>
      </c>
    </row>
    <row r="42" customFormat="false" ht="12.8" hidden="false" customHeight="false" outlineLevel="0" collapsed="false">
      <c r="A42" s="14" t="n">
        <v>2048130</v>
      </c>
      <c r="B42" s="14" t="n">
        <v>32</v>
      </c>
    </row>
    <row r="43" customFormat="false" ht="12.8" hidden="false" customHeight="false" outlineLevel="0" collapsed="false">
      <c r="A43" s="14" t="n">
        <v>1987495</v>
      </c>
      <c r="B43" s="14" t="n">
        <v>4</v>
      </c>
    </row>
    <row r="44" customFormat="false" ht="12.8" hidden="false" customHeight="false" outlineLevel="0" collapsed="false">
      <c r="A44" s="14" t="n">
        <v>2087310</v>
      </c>
      <c r="B44" s="14" t="n">
        <v>8</v>
      </c>
    </row>
    <row r="45" customFormat="false" ht="12.8" hidden="false" customHeight="false" outlineLevel="0" collapsed="false">
      <c r="A45" s="14" t="n">
        <v>1919026</v>
      </c>
      <c r="B45" s="14" t="n">
        <v>60</v>
      </c>
    </row>
    <row r="46" customFormat="false" ht="12.8" hidden="false" customHeight="false" outlineLevel="0" collapsed="false">
      <c r="A46" s="14" t="n">
        <v>2086047</v>
      </c>
      <c r="B46" s="14" t="n">
        <v>76</v>
      </c>
    </row>
    <row r="47" customFormat="false" ht="12.8" hidden="false" customHeight="false" outlineLevel="0" collapsed="false">
      <c r="A47" s="14" t="n">
        <v>2087359</v>
      </c>
      <c r="B47" s="14" t="n">
        <v>0</v>
      </c>
    </row>
    <row r="48" customFormat="false" ht="12.8" hidden="false" customHeight="false" outlineLevel="0" collapsed="false">
      <c r="A48" s="14" t="n">
        <v>2068434</v>
      </c>
      <c r="B48" s="14" t="n">
        <v>24</v>
      </c>
    </row>
    <row r="49" customFormat="false" ht="12.8" hidden="false" customHeight="false" outlineLevel="0" collapsed="false">
      <c r="A49" s="14" t="n">
        <v>2046758</v>
      </c>
      <c r="B49" s="14" t="n">
        <v>56</v>
      </c>
    </row>
    <row r="50" customFormat="false" ht="12.8" hidden="false" customHeight="false" outlineLevel="0" collapsed="false">
      <c r="A50" s="14" t="n">
        <v>1857898</v>
      </c>
      <c r="B50" s="14" t="n">
        <v>16</v>
      </c>
    </row>
    <row r="51" customFormat="false" ht="12.8" hidden="false" customHeight="false" outlineLevel="0" collapsed="false">
      <c r="A51" s="14" t="n">
        <v>2051659</v>
      </c>
      <c r="B51" s="14" t="n">
        <v>40</v>
      </c>
    </row>
    <row r="52" customFormat="false" ht="12.8" hidden="false" customHeight="false" outlineLevel="0" collapsed="false">
      <c r="A52" s="14" t="n">
        <v>2014782</v>
      </c>
      <c r="B52" s="14" t="n">
        <v>4</v>
      </c>
    </row>
    <row r="53" customFormat="false" ht="12.8" hidden="false" customHeight="false" outlineLevel="0" collapsed="false">
      <c r="A53" s="14" t="n">
        <v>2046501</v>
      </c>
      <c r="B53" s="14" t="n">
        <v>64</v>
      </c>
    </row>
    <row r="54" customFormat="false" ht="12.8" hidden="false" customHeight="false" outlineLevel="0" collapsed="false">
      <c r="A54" s="14" t="n">
        <v>2083011</v>
      </c>
      <c r="B54" s="14" t="n">
        <v>40</v>
      </c>
    </row>
    <row r="55" customFormat="false" ht="12.8" hidden="false" customHeight="false" outlineLevel="0" collapsed="false">
      <c r="A55" s="14" t="n">
        <v>2034930</v>
      </c>
      <c r="B55" s="14" t="n">
        <v>0</v>
      </c>
    </row>
    <row r="56" customFormat="false" ht="12.8" hidden="false" customHeight="false" outlineLevel="0" collapsed="false">
      <c r="A56" s="14" t="n">
        <v>2021689</v>
      </c>
      <c r="B56" s="14" t="n">
        <v>0</v>
      </c>
    </row>
    <row r="57" customFormat="false" ht="12.8" hidden="false" customHeight="false" outlineLevel="0" collapsed="false">
      <c r="A57" s="14" t="n">
        <v>1960045</v>
      </c>
      <c r="B57" s="14" t="n">
        <v>12</v>
      </c>
    </row>
    <row r="58" customFormat="false" ht="12.8" hidden="false" customHeight="false" outlineLevel="0" collapsed="false">
      <c r="A58" s="14" t="n">
        <v>2002583</v>
      </c>
      <c r="B58" s="14" t="n">
        <v>0</v>
      </c>
    </row>
    <row r="59" customFormat="false" ht="12.8" hidden="false" customHeight="false" outlineLevel="0" collapsed="false">
      <c r="A59" s="14" t="n">
        <v>2046790</v>
      </c>
      <c r="B59" s="14" t="n">
        <v>20</v>
      </c>
    </row>
    <row r="60" customFormat="false" ht="12.8" hidden="false" customHeight="false" outlineLevel="0" collapsed="false">
      <c r="A60" s="14" t="n">
        <v>1844504</v>
      </c>
      <c r="B60" s="14" t="n">
        <v>80</v>
      </c>
    </row>
    <row r="61" customFormat="false" ht="12.8" hidden="false" customHeight="false" outlineLevel="0" collapsed="false">
      <c r="A61" s="14" t="n">
        <v>1884714</v>
      </c>
      <c r="B61" s="14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>Enrico Tronci</cp:lastModifiedBy>
  <dcterms:modified xsi:type="dcterms:W3CDTF">2025-10-22T17:22:44Z</dcterms:modified>
  <cp:revision>120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