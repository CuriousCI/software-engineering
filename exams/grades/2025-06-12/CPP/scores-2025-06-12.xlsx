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ex-2025-02-25" sheetId="4" state="visible" r:id="rId6"/>
    <sheet name="ex-2025-03-21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<sst xmlns="http://schemas.openxmlformats.org/spreadsheetml/2006/main" count="18" uniqueCount="13">
  <si>
    <t xml:space="preserve">Exercise</t>
  </si>
  <si>
    <t xml:space="preserve">Tests Ex 1</t>
  </si>
  <si>
    <t xml:space="preserve">Tests Ex 2</t>
  </si>
  <si>
    <t xml:space="preserve">Tests Ex 3</t>
  </si>
  <si>
    <t xml:space="preserve">Tests Ex 4</t>
  </si>
  <si>
    <t xml:space="preserve">Tests Ex 5</t>
  </si>
  <si>
    <t xml:space="preserve">Matricola</t>
  </si>
  <si>
    <t xml:space="preserve">SCORE</t>
  </si>
  <si>
    <t xml:space="preserve">CDF</t>
  </si>
  <si>
    <t xml:space="preserve">TOTAL</t>
  </si>
  <si>
    <t xml:space="preserve">From</t>
  </si>
  <si>
    <t xml:space="preserve">To</t>
  </si>
  <si>
    <t xml:space="preserve">Grade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</si>
</sst>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FFFF00"/>
        <bgColor rgb="FFFFFF3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5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1" ySplit="0" topLeftCell="B1" activePane="topRight" state="frozen"/>
      <selection pane="topLeft" activeCell="A1" activeCellId="0" sqref="A1"/>
      <selection pane="topRight" activeCell="A11" activeCellId="0" sqref="A11"/>
    </sheetView>
  </sheetViews>
  <sheetFormatPr defaultColWidth="11.9765625" defaultRowHeight="12.8" zeroHeight="false" outlineLevelRow="0" outlineLevelCol="0"/>
  <cols>
    <col collapsed="false" customWidth="true" hidden="false" outlineLevel="0" max="1" min="1" style="1" width="9.46"/>
    <col collapsed="false" customWidth="true" hidden="false" outlineLevel="0" max="2" min="2" style="1" width="12.7"/>
    <col collapsed="false" customWidth="true" hidden="false" outlineLevel="0" max="7" min="3" style="2" width="3.37"/>
    <col collapsed="false" customWidth="true" hidden="false" outlineLevel="0" max="9" min="8" style="1" width="3.37"/>
    <col collapsed="false" customWidth="true" hidden="false" outlineLevel="0" max="12" min="10" style="3" width="3.37"/>
    <col collapsed="false" customWidth="true" hidden="false" outlineLevel="0" max="17" min="13" style="4" width="3.37"/>
    <col collapsed="false" customWidth="true" hidden="false" outlineLevel="0" max="22" min="18" style="3" width="3.37"/>
    <col collapsed="false" customWidth="true" hidden="false" outlineLevel="0" max="27" min="23" style="4" width="3.37"/>
    <col collapsed="false" customWidth="true" hidden="false" outlineLevel="0" max="28" min="28" style="3" width="3.37"/>
    <col collapsed="false" customWidth="true" hidden="false" outlineLevel="0" max="32" min="29" style="1" width="3.37"/>
    <col collapsed="false" customWidth="true" hidden="false" outlineLevel="0" max="1023" min="1021" style="1" width="11.52"/>
    <col collapsed="false" customWidth="true" hidden="false" outlineLevel="0" max="16384" min="16384" style="0" width="11.53"/>
  </cols>
  <sheetData>
    <row r="1" s="5" customFormat="true" ht="12.8" hidden="false" customHeight="false" outlineLevel="0" collapsed="false">
      <c r="C1" s="6" t="s">
        <v>0</v>
      </c>
      <c r="D1" s="6"/>
      <c r="E1" s="6"/>
      <c r="F1" s="6"/>
      <c r="G1" s="6"/>
      <c r="H1" s="7" t="s">
        <v>1</v>
      </c>
      <c r="I1" s="7"/>
      <c r="J1" s="7"/>
      <c r="K1" s="7"/>
      <c r="L1" s="7"/>
      <c r="M1" s="8" t="s">
        <v>2</v>
      </c>
      <c r="N1" s="8"/>
      <c r="O1" s="8"/>
      <c r="P1" s="8"/>
      <c r="Q1" s="8"/>
      <c r="R1" s="9" t="s">
        <v>3</v>
      </c>
      <c r="S1" s="9"/>
      <c r="T1" s="9"/>
      <c r="U1" s="9"/>
      <c r="V1" s="9"/>
      <c r="W1" s="8" t="s">
        <v>4</v>
      </c>
      <c r="X1" s="8"/>
      <c r="Y1" s="8"/>
      <c r="Z1" s="8"/>
      <c r="AA1" s="8"/>
      <c r="AB1" s="9" t="s">
        <v>5</v>
      </c>
      <c r="AC1" s="9"/>
      <c r="AD1" s="9"/>
      <c r="AE1" s="9"/>
      <c r="AF1" s="9"/>
      <c r="AMG1" s="1"/>
      <c r="AMH1" s="1"/>
      <c r="AMI1" s="1"/>
      <c r="AMJ1" s="0"/>
    </row>
    <row r="2" s="5" customFormat="true" ht="12.8" hidden="false" customHeight="false" outlineLevel="0" collapsed="false">
      <c r="A2" s="5" t="s">
        <v>6</v>
      </c>
      <c r="B2" s="5" t="s">
        <v>7</v>
      </c>
      <c r="C2" s="10" t="n">
        <v>1</v>
      </c>
      <c r="D2" s="10" t="n">
        <v>2</v>
      </c>
      <c r="E2" s="10" t="n">
        <v>3</v>
      </c>
      <c r="F2" s="10" t="n">
        <v>4</v>
      </c>
      <c r="G2" s="10" t="n">
        <v>5</v>
      </c>
      <c r="H2" s="5" t="n">
        <v>1</v>
      </c>
      <c r="I2" s="5" t="n">
        <v>2</v>
      </c>
      <c r="J2" s="11" t="n">
        <v>3</v>
      </c>
      <c r="K2" s="11" t="n">
        <v>4</v>
      </c>
      <c r="L2" s="11" t="n">
        <v>5</v>
      </c>
      <c r="M2" s="12" t="n">
        <v>1</v>
      </c>
      <c r="N2" s="12" t="n">
        <v>2</v>
      </c>
      <c r="O2" s="12" t="n">
        <v>3</v>
      </c>
      <c r="P2" s="12" t="n">
        <v>4</v>
      </c>
      <c r="Q2" s="12" t="n">
        <v>5</v>
      </c>
      <c r="R2" s="11" t="n">
        <v>1</v>
      </c>
      <c r="S2" s="11" t="n">
        <v>2</v>
      </c>
      <c r="T2" s="11" t="n">
        <v>3</v>
      </c>
      <c r="U2" s="11" t="n">
        <v>4</v>
      </c>
      <c r="V2" s="11" t="n">
        <v>5</v>
      </c>
      <c r="W2" s="12" t="n">
        <v>1</v>
      </c>
      <c r="X2" s="12" t="n">
        <v>2</v>
      </c>
      <c r="Y2" s="12" t="n">
        <v>3</v>
      </c>
      <c r="Z2" s="12" t="n">
        <v>4</v>
      </c>
      <c r="AA2" s="12" t="n">
        <v>5</v>
      </c>
      <c r="AB2" s="11" t="n">
        <v>1</v>
      </c>
      <c r="AC2" s="5" t="n">
        <v>2</v>
      </c>
      <c r="AD2" s="5" t="n">
        <v>3</v>
      </c>
      <c r="AE2" s="5" t="n">
        <v>4</v>
      </c>
      <c r="AF2" s="5" t="n">
        <v>5</v>
      </c>
      <c r="AMG2" s="1"/>
      <c r="AMH2" s="1"/>
      <c r="AMI2" s="1"/>
      <c r="AMJ2" s="0"/>
    </row>
    <row r="3" customFormat="false" ht="12.8" hidden="false" customHeight="false" outlineLevel="0" collapsed="false">
      <c r="A3" s="1" t="n">
        <v>2068261</v>
      </c>
      <c r="B3" s="1" t="n">
        <f aca="false">(15*C3 + 25*D3 + 15*E3 + 25*F3 + 20*G3)</f>
        <v>86</v>
      </c>
      <c r="C3" s="2" t="n">
        <f aca="false">(H3 + I3 + J3 +K3 + L3)/5</f>
        <v>0.4</v>
      </c>
      <c r="D3" s="2" t="n">
        <f aca="false">(M3 + N3 + O3 +P3 + Q3)/5</f>
        <v>0.8</v>
      </c>
      <c r="E3" s="2" t="n">
        <f aca="false">(R3 + S3 + T3 +U3 + V3)/5</f>
        <v>1</v>
      </c>
      <c r="F3" s="2" t="n">
        <f aca="false">(W3 + X3 + Y3 +Z3 + AA3)/5</f>
        <v>1</v>
      </c>
      <c r="G3" s="2" t="n">
        <f aca="false">(AB3 + AC3 + AD3 +AE3 + AF3)/5</f>
        <v>1</v>
      </c>
      <c r="H3" s="1" t="n">
        <v>1</v>
      </c>
      <c r="I3" s="1" t="n">
        <v>1</v>
      </c>
      <c r="J3" s="1" t="n">
        <v>0</v>
      </c>
      <c r="K3" s="1" t="n">
        <v>0</v>
      </c>
      <c r="L3" s="1" t="n">
        <v>0</v>
      </c>
      <c r="M3" s="13" t="n">
        <v>0</v>
      </c>
      <c r="N3" s="13" t="n">
        <v>1</v>
      </c>
      <c r="O3" s="13" t="n">
        <v>1</v>
      </c>
      <c r="P3" s="13" t="n">
        <v>1</v>
      </c>
      <c r="Q3" s="13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4" t="n">
        <v>1</v>
      </c>
      <c r="X3" s="4" t="n">
        <v>1</v>
      </c>
      <c r="Y3" s="4" t="n">
        <v>1</v>
      </c>
      <c r="Z3" s="4" t="n">
        <v>1</v>
      </c>
      <c r="AA3" s="4" t="n">
        <v>1</v>
      </c>
      <c r="AB3" s="3" t="n">
        <v>1</v>
      </c>
      <c r="AC3" s="3" t="n">
        <v>1</v>
      </c>
      <c r="AD3" s="3" t="n">
        <v>1</v>
      </c>
      <c r="AE3" s="3" t="n">
        <v>1</v>
      </c>
      <c r="AF3" s="3" t="n">
        <v>1</v>
      </c>
    </row>
    <row r="4" customFormat="false" ht="12.8" hidden="false" customHeight="false" outlineLevel="0" collapsed="false">
      <c r="A4" s="1" t="n">
        <v>2085561</v>
      </c>
      <c r="B4" s="1" t="n">
        <f aca="false">(15*C4 + 25*D4 + 15*E4 + 25*F4 + 20*G4)</f>
        <v>12.2</v>
      </c>
      <c r="C4" s="2" t="n">
        <f aca="false">(H4 + I4 + J4 +K4 + L4)/5</f>
        <v>0.28</v>
      </c>
      <c r="D4" s="2" t="n">
        <f aca="false">(M4 + N4 + O4 +P4 + Q4)/5</f>
        <v>0.2</v>
      </c>
      <c r="E4" s="2" t="n">
        <f aca="false">(R4 + S4 + T4 +U4 + V4)/5</f>
        <v>0.2</v>
      </c>
      <c r="F4" s="2" t="n">
        <f aca="false">(W4 + X4 + Y4 +Z4 + AA4)/5</f>
        <v>0</v>
      </c>
      <c r="G4" s="2" t="n">
        <f aca="false">(AB4 + AC4 + AD4 +AE4 + AF4)/5</f>
        <v>0</v>
      </c>
      <c r="H4" s="1" t="n">
        <v>0.7</v>
      </c>
      <c r="I4" s="1" t="n">
        <v>0.7</v>
      </c>
      <c r="J4" s="1" t="n">
        <v>0</v>
      </c>
      <c r="K4" s="1" t="n">
        <v>0</v>
      </c>
      <c r="L4" s="1" t="n">
        <v>0</v>
      </c>
      <c r="M4" s="13" t="n">
        <v>0</v>
      </c>
      <c r="N4" s="13" t="n">
        <v>0</v>
      </c>
      <c r="O4" s="13" t="n">
        <v>0</v>
      </c>
      <c r="P4" s="13" t="n">
        <v>1</v>
      </c>
      <c r="Q4" s="13" t="n">
        <v>0</v>
      </c>
      <c r="R4" s="1" t="n">
        <v>0</v>
      </c>
      <c r="S4" s="1" t="n">
        <v>0</v>
      </c>
      <c r="T4" s="1" t="n">
        <v>0</v>
      </c>
      <c r="U4" s="1" t="n">
        <v>1</v>
      </c>
      <c r="V4" s="1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</row>
    <row r="5" customFormat="false" ht="12.8" hidden="false" customHeight="false" outlineLevel="0" collapsed="false">
      <c r="A5" s="1" t="n">
        <v>2014598</v>
      </c>
      <c r="B5" s="1" t="n">
        <f aca="false">(15*C5 + 25*D5 + 15*E5 + 25*F5 + 20*G5)</f>
        <v>0</v>
      </c>
      <c r="C5" s="2" t="n">
        <f aca="false">(H5 + I5 + J5 +K5 + L5)/5</f>
        <v>0</v>
      </c>
      <c r="D5" s="2" t="n">
        <f aca="false">(M5 + N5 + O5 +P5 + Q5)/5</f>
        <v>0</v>
      </c>
      <c r="E5" s="2" t="n">
        <f aca="false">(R5 + S5 + T5 +U5 + V5)/5</f>
        <v>0</v>
      </c>
      <c r="F5" s="2" t="n">
        <f aca="false">(W5 + X5 + Y5 +Z5 + AA5)/5</f>
        <v>0</v>
      </c>
      <c r="G5" s="2" t="n">
        <f aca="false">(AB5 + AC5 + AD5 +AE5 + AF5)/5</f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</row>
    <row r="6" customFormat="false" ht="12.8" hidden="false" customHeight="false" outlineLevel="0" collapsed="false">
      <c r="A6" s="1" t="n">
        <v>1810132</v>
      </c>
      <c r="B6" s="1" t="n">
        <f aca="false">(15*C6 + 25*D6 + 15*E6 + 25*F6 + 20*G6)</f>
        <v>0</v>
      </c>
      <c r="C6" s="2" t="n">
        <f aca="false">(H6 + I6 + J6 +K6 + L6)/5</f>
        <v>0</v>
      </c>
      <c r="D6" s="2" t="n">
        <f aca="false">(M6 + N6 + O6 +P6 + Q6)/5</f>
        <v>0</v>
      </c>
      <c r="E6" s="2" t="n">
        <f aca="false">(R6 + S6 + T6 +U6 + V6)/5</f>
        <v>0</v>
      </c>
      <c r="F6" s="2" t="n">
        <f aca="false">(W6 + X6 + Y6 +Z6 + AA6)/5</f>
        <v>0</v>
      </c>
      <c r="G6" s="2" t="n">
        <f aca="false">(AB6 + AC6 + AD6 +AE6 + AF6)/5</f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</row>
    <row r="7" customFormat="false" ht="12.8" hidden="false" customHeight="false" outlineLevel="0" collapsed="false">
      <c r="A7" s="1" t="n">
        <v>2083321</v>
      </c>
      <c r="B7" s="1" t="n">
        <f aca="false">(15*C7 + 25*D7 + 15*E7 + 25*F7 + 20*G7)</f>
        <v>4.2</v>
      </c>
      <c r="C7" s="2" t="n">
        <f aca="false">(H7 + I7 + J7 +K7 + L7)/5</f>
        <v>0.28</v>
      </c>
      <c r="D7" s="2" t="n">
        <f aca="false">(M7 + N7 + O7 +P7 + Q7)/5</f>
        <v>0</v>
      </c>
      <c r="E7" s="2" t="n">
        <f aca="false">(R7 + S7 + T7 +U7 + V7)/5</f>
        <v>0</v>
      </c>
      <c r="F7" s="2" t="n">
        <f aca="false">(W7 + X7 + Y7 +Z7 + AA7)/5</f>
        <v>0</v>
      </c>
      <c r="G7" s="2" t="n">
        <f aca="false">(AB7 + AC7 + AD7 +AE7 + AF7)/5</f>
        <v>0</v>
      </c>
      <c r="H7" s="1" t="n">
        <v>0.7</v>
      </c>
      <c r="I7" s="1" t="n">
        <v>0.7</v>
      </c>
      <c r="J7" s="1" t="n">
        <v>0</v>
      </c>
      <c r="K7" s="1" t="n">
        <v>0</v>
      </c>
      <c r="L7" s="1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</row>
    <row r="8" customFormat="false" ht="12.8" hidden="false" customHeight="false" outlineLevel="0" collapsed="false">
      <c r="A8" s="1" t="n">
        <v>2056284</v>
      </c>
      <c r="B8" s="1" t="n">
        <f aca="false">(15*C8 + 25*D8 + 15*E8 + 25*F8 + 20*G8)</f>
        <v>32.2</v>
      </c>
      <c r="C8" s="2" t="n">
        <f aca="false">(H8 + I8 + J8 +K8 + L8)/5</f>
        <v>0.28</v>
      </c>
      <c r="D8" s="2" t="n">
        <f aca="false">(M8 + N8 + O8 +P8 + Q8)/5</f>
        <v>0</v>
      </c>
      <c r="E8" s="2" t="n">
        <f aca="false">(R8 + S8 + T8 +U8 + V8)/5</f>
        <v>0</v>
      </c>
      <c r="F8" s="2" t="n">
        <f aca="false">(W8 + X8 + Y8 +Z8 + AA8)/5</f>
        <v>0.8</v>
      </c>
      <c r="G8" s="2" t="n">
        <f aca="false">(AB8 + AC8 + AD8 +AE8 + AF8)/5</f>
        <v>0.4</v>
      </c>
      <c r="H8" s="1" t="n">
        <v>0.7</v>
      </c>
      <c r="I8" s="1" t="n">
        <v>0.7</v>
      </c>
      <c r="J8" s="1" t="n">
        <v>0</v>
      </c>
      <c r="K8" s="1" t="n">
        <v>0</v>
      </c>
      <c r="L8" s="1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4" t="n">
        <v>1</v>
      </c>
      <c r="X8" s="4" t="n">
        <v>1</v>
      </c>
      <c r="Y8" s="4" t="n">
        <v>1</v>
      </c>
      <c r="Z8" s="4" t="n">
        <v>1</v>
      </c>
      <c r="AA8" s="4" t="n">
        <v>0</v>
      </c>
      <c r="AB8" s="3" t="n">
        <v>1</v>
      </c>
      <c r="AC8" s="3" t="n">
        <v>1</v>
      </c>
      <c r="AD8" s="3" t="n">
        <v>0</v>
      </c>
      <c r="AE8" s="3" t="n">
        <v>0</v>
      </c>
      <c r="AF8" s="3" t="n">
        <v>0</v>
      </c>
    </row>
    <row r="9" customFormat="false" ht="12.8" hidden="false" customHeight="false" outlineLevel="0" collapsed="false">
      <c r="A9" s="1" t="n">
        <v>1933763</v>
      </c>
      <c r="B9" s="1" t="n">
        <f aca="false">(15*C9 + 25*D9 + 15*E9 + 25*F9 + 20*G9)</f>
        <v>81</v>
      </c>
      <c r="C9" s="2" t="n">
        <f aca="false">(H9 + I9 + J9 +K9 + L9)/5</f>
        <v>0.4</v>
      </c>
      <c r="D9" s="2" t="n">
        <f aca="false">(M9 + N9 + O9 +P9 + Q9)/5</f>
        <v>1</v>
      </c>
      <c r="E9" s="2" t="n">
        <f aca="false">(R9 + S9 + T9 +U9 + V9)/5</f>
        <v>1</v>
      </c>
      <c r="F9" s="2" t="n">
        <f aca="false">(W9 + X9 + Y9 +Z9 + AA9)/5</f>
        <v>0.6</v>
      </c>
      <c r="G9" s="2" t="n">
        <f aca="false">(AB9 + AC9 + AD9 +AE9 + AF9)/5</f>
        <v>1</v>
      </c>
      <c r="H9" s="1" t="n">
        <v>1</v>
      </c>
      <c r="I9" s="1" t="n">
        <v>1</v>
      </c>
      <c r="J9" s="1" t="n">
        <v>0</v>
      </c>
      <c r="K9" s="1" t="n">
        <v>0</v>
      </c>
      <c r="L9" s="1" t="n">
        <v>0</v>
      </c>
      <c r="M9" s="13" t="n">
        <v>1</v>
      </c>
      <c r="N9" s="13" t="n">
        <v>1</v>
      </c>
      <c r="O9" s="13" t="n">
        <v>1</v>
      </c>
      <c r="P9" s="13" t="n">
        <v>1</v>
      </c>
      <c r="Q9" s="13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  <c r="W9" s="4" t="n">
        <v>1</v>
      </c>
      <c r="X9" s="4" t="n">
        <v>1</v>
      </c>
      <c r="Y9" s="4" t="n">
        <v>1</v>
      </c>
      <c r="Z9" s="4" t="n">
        <v>0</v>
      </c>
      <c r="AA9" s="4" t="n">
        <v>0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</row>
    <row r="10" customFormat="false" ht="12.8" hidden="false" customHeight="false" outlineLevel="0" collapsed="false">
      <c r="A10" s="1" t="n">
        <v>2066344</v>
      </c>
      <c r="B10" s="1" t="n">
        <f aca="false">(15*C10 + 25*D10 + 15*E10 + 25*F10 + 20*G10)</f>
        <v>76</v>
      </c>
      <c r="C10" s="2" t="n">
        <f aca="false">(H10 + I10 + J10 +K10 + L10)/5</f>
        <v>0.4</v>
      </c>
      <c r="D10" s="2" t="n">
        <f aca="false">(M10 + N10 + O10 +P10 + Q10)/5</f>
        <v>0.8</v>
      </c>
      <c r="E10" s="2" t="n">
        <f aca="false">(R10 + S10 + T10 +U10 + V10)/5</f>
        <v>1</v>
      </c>
      <c r="F10" s="2" t="n">
        <f aca="false">(W10 + X10 + Y10 +Z10 + AA10)/5</f>
        <v>0.6</v>
      </c>
      <c r="G10" s="2" t="n">
        <f aca="false">(AB10 + AC10 + AD10 +AE10 + AF10)/5</f>
        <v>1</v>
      </c>
      <c r="H10" s="1" t="n">
        <v>1</v>
      </c>
      <c r="I10" s="1" t="n">
        <v>1</v>
      </c>
      <c r="J10" s="1" t="n">
        <v>0</v>
      </c>
      <c r="K10" s="1" t="n">
        <v>0</v>
      </c>
      <c r="L10" s="1" t="n">
        <v>0</v>
      </c>
      <c r="M10" s="13" t="n">
        <v>1</v>
      </c>
      <c r="N10" s="13" t="n">
        <v>0</v>
      </c>
      <c r="O10" s="13" t="n">
        <v>1</v>
      </c>
      <c r="P10" s="13" t="n">
        <v>1</v>
      </c>
      <c r="Q10" s="13" t="n">
        <v>1</v>
      </c>
      <c r="R10" s="1" t="n">
        <v>1</v>
      </c>
      <c r="S10" s="1" t="n">
        <v>1</v>
      </c>
      <c r="T10" s="1" t="n">
        <v>1</v>
      </c>
      <c r="U10" s="1" t="n">
        <v>1</v>
      </c>
      <c r="V10" s="1" t="n">
        <v>1</v>
      </c>
      <c r="W10" s="4" t="n">
        <v>1</v>
      </c>
      <c r="X10" s="4" t="n">
        <v>1</v>
      </c>
      <c r="Y10" s="4" t="n">
        <v>1</v>
      </c>
      <c r="Z10" s="4" t="n">
        <v>0</v>
      </c>
      <c r="AA10" s="4" t="n">
        <v>0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1</v>
      </c>
    </row>
    <row r="11" customFormat="false" ht="12.8" hidden="false" customHeight="false" outlineLevel="0" collapsed="false">
      <c r="A11" s="1" t="n">
        <v>2076586</v>
      </c>
      <c r="B11" s="1" t="n">
        <f aca="false">(15*C11 + 25*D11 + 15*E11 + 25*F11 + 20*G11)</f>
        <v>31</v>
      </c>
      <c r="C11" s="2" t="n">
        <f aca="false">(H11 + I11 + J11 +K11 + L11)/5</f>
        <v>0.4</v>
      </c>
      <c r="D11" s="2" t="n">
        <f aca="false">(M11 + N11 + O11 +P11 + Q11)/5</f>
        <v>0.4</v>
      </c>
      <c r="E11" s="2" t="n">
        <f aca="false">(R11 + S11 + T11 +U11 + V11)/5</f>
        <v>1</v>
      </c>
      <c r="F11" s="2" t="n">
        <f aca="false">(W11 + X11 + Y11 +Z11 + AA11)/5</f>
        <v>0</v>
      </c>
      <c r="G11" s="2" t="n">
        <f aca="false">(AB11 + AC11 + AD11 +AE11 + AF11)/5</f>
        <v>0</v>
      </c>
      <c r="H11" s="1" t="n">
        <v>1</v>
      </c>
      <c r="I11" s="1" t="n">
        <v>1</v>
      </c>
      <c r="J11" s="1" t="n">
        <v>0</v>
      </c>
      <c r="K11" s="1" t="n">
        <v>0</v>
      </c>
      <c r="L11" s="1" t="n">
        <v>0</v>
      </c>
      <c r="M11" s="13" t="n">
        <v>0</v>
      </c>
      <c r="N11" s="13" t="n">
        <v>0</v>
      </c>
      <c r="O11" s="13" t="n">
        <v>1</v>
      </c>
      <c r="P11" s="13" t="n">
        <v>0</v>
      </c>
      <c r="Q11" s="13" t="n">
        <v>1</v>
      </c>
      <c r="R11" s="1" t="n">
        <v>1</v>
      </c>
      <c r="S11" s="1" t="n">
        <v>1</v>
      </c>
      <c r="T11" s="1" t="n">
        <v>1</v>
      </c>
      <c r="U11" s="1" t="n">
        <v>1</v>
      </c>
      <c r="V11" s="1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</row>
    <row r="12" customFormat="false" ht="12.8" hidden="false" customHeight="false" outlineLevel="0" collapsed="false">
      <c r="A12" s="1" t="n">
        <v>2049029</v>
      </c>
      <c r="B12" s="1" t="n">
        <f aca="false">(15*C12 + 25*D12 + 15*E12 + 25*F12 + 20*G12)</f>
        <v>91</v>
      </c>
      <c r="C12" s="2" t="n">
        <f aca="false">(H12 + I12 + J12 +K12 + L12)/5</f>
        <v>0.4</v>
      </c>
      <c r="D12" s="2" t="n">
        <f aca="false">(M12 + N12 + O12 +P12 + Q12)/5</f>
        <v>1</v>
      </c>
      <c r="E12" s="2" t="n">
        <f aca="false">(R12 + S12 + T12 +U12 + V12)/5</f>
        <v>1</v>
      </c>
      <c r="F12" s="2" t="n">
        <f aca="false">(W12 + X12 + Y12 +Z12 + AA12)/5</f>
        <v>1</v>
      </c>
      <c r="G12" s="2" t="n">
        <f aca="false">(AB12 + AC12 + AD12 +AE12 + AF12)/5</f>
        <v>1</v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0</v>
      </c>
      <c r="M12" s="13" t="n">
        <v>1</v>
      </c>
      <c r="N12" s="13" t="n">
        <v>1</v>
      </c>
      <c r="O12" s="13" t="n">
        <v>1</v>
      </c>
      <c r="P12" s="13" t="n">
        <v>1</v>
      </c>
      <c r="Q12" s="13" t="n">
        <v>1</v>
      </c>
      <c r="R12" s="1" t="n">
        <v>1</v>
      </c>
      <c r="S12" s="1" t="n">
        <v>1</v>
      </c>
      <c r="T12" s="1" t="n">
        <v>1</v>
      </c>
      <c r="U12" s="1" t="n">
        <v>1</v>
      </c>
      <c r="V12" s="1" t="n">
        <v>1</v>
      </c>
      <c r="W12" s="4" t="n">
        <v>1</v>
      </c>
      <c r="X12" s="4" t="n">
        <v>1</v>
      </c>
      <c r="Y12" s="4" t="n">
        <v>1</v>
      </c>
      <c r="Z12" s="4" t="n">
        <v>1</v>
      </c>
      <c r="AA12" s="4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1</v>
      </c>
    </row>
    <row r="13" customFormat="false" ht="12.8" hidden="false" customHeight="false" outlineLevel="0" collapsed="false">
      <c r="A13" s="1" t="n">
        <v>2059802</v>
      </c>
      <c r="B13" s="1" t="n">
        <f aca="false">(15*C13 + 25*D13 + 15*E13 + 25*F13 + 20*G13)</f>
        <v>75</v>
      </c>
      <c r="C13" s="2" t="n">
        <f aca="false">(H13 + I13 + J13 +K13 + L13)/5</f>
        <v>0.4</v>
      </c>
      <c r="D13" s="2" t="n">
        <f aca="false">(M13 + N13 + O13 +P13 + Q13)/5</f>
        <v>1</v>
      </c>
      <c r="E13" s="2" t="n">
        <f aca="false">(R13 + S13 + T13 +U13 + V13)/5</f>
        <v>1</v>
      </c>
      <c r="F13" s="2" t="n">
        <f aca="false">(W13 + X13 + Y13 +Z13 + AA13)/5</f>
        <v>1</v>
      </c>
      <c r="G13" s="2" t="n">
        <f aca="false">(AB13 + AC13 + AD13 +AE13 + AF13)/5</f>
        <v>0.2</v>
      </c>
      <c r="H13" s="1" t="n">
        <v>1</v>
      </c>
      <c r="I13" s="1" t="n">
        <v>1</v>
      </c>
      <c r="J13" s="1" t="n">
        <v>0</v>
      </c>
      <c r="K13" s="1" t="n">
        <v>0</v>
      </c>
      <c r="L13" s="1" t="n">
        <v>0</v>
      </c>
      <c r="M13" s="13" t="n">
        <v>1</v>
      </c>
      <c r="N13" s="13" t="n">
        <v>1</v>
      </c>
      <c r="O13" s="13" t="n">
        <v>1</v>
      </c>
      <c r="P13" s="13" t="n">
        <v>1</v>
      </c>
      <c r="Q13" s="13" t="n">
        <v>1</v>
      </c>
      <c r="R13" s="1" t="n">
        <v>1</v>
      </c>
      <c r="S13" s="1" t="n">
        <v>1</v>
      </c>
      <c r="T13" s="1" t="n">
        <v>1</v>
      </c>
      <c r="U13" s="1" t="n">
        <v>1</v>
      </c>
      <c r="V13" s="1" t="n">
        <v>1</v>
      </c>
      <c r="W13" s="4" t="n">
        <v>1</v>
      </c>
      <c r="X13" s="4" t="n">
        <v>1</v>
      </c>
      <c r="Y13" s="4" t="n">
        <v>1</v>
      </c>
      <c r="Z13" s="4" t="n">
        <v>1</v>
      </c>
      <c r="AA13" s="4" t="n">
        <v>1</v>
      </c>
      <c r="AB13" s="3" t="n">
        <v>1</v>
      </c>
      <c r="AC13" s="3" t="n">
        <v>0</v>
      </c>
      <c r="AD13" s="3" t="n">
        <v>0</v>
      </c>
      <c r="AE13" s="3" t="n">
        <v>0</v>
      </c>
      <c r="AF13" s="3" t="n">
        <v>0</v>
      </c>
    </row>
    <row r="14" customFormat="false" ht="12.8" hidden="false" customHeight="false" outlineLevel="0" collapsed="false">
      <c r="A14" s="1" t="n">
        <v>2007103</v>
      </c>
      <c r="B14" s="1" t="n">
        <f aca="false">(15*C14 + 25*D14 + 15*E14 + 25*F14 + 20*G14)</f>
        <v>81</v>
      </c>
      <c r="C14" s="2" t="n">
        <f aca="false">(H14 + I14 + J14 +K14 + L14)/5</f>
        <v>0.4</v>
      </c>
      <c r="D14" s="2" t="n">
        <f aca="false">(M14 + N14 + O14 +P14 + Q14)/5</f>
        <v>1</v>
      </c>
      <c r="E14" s="2" t="n">
        <f aca="false">(R14 + S14 + T14 +U14 + V14)/5</f>
        <v>1</v>
      </c>
      <c r="F14" s="2" t="n">
        <f aca="false">(W14 + X14 + Y14 +Z14 + AA14)/5</f>
        <v>0.6</v>
      </c>
      <c r="G14" s="2" t="n">
        <f aca="false">(AB14 + AC14 + AD14 +AE14 + AF14)/5</f>
        <v>1</v>
      </c>
      <c r="H14" s="1" t="n">
        <v>1</v>
      </c>
      <c r="I14" s="1" t="n">
        <v>1</v>
      </c>
      <c r="J14" s="1" t="n">
        <v>0</v>
      </c>
      <c r="K14" s="1" t="n">
        <v>0</v>
      </c>
      <c r="L14" s="1" t="n">
        <v>0</v>
      </c>
      <c r="M14" s="13" t="n">
        <v>1</v>
      </c>
      <c r="N14" s="13" t="n">
        <v>1</v>
      </c>
      <c r="O14" s="13" t="n">
        <v>1</v>
      </c>
      <c r="P14" s="13" t="n">
        <v>1</v>
      </c>
      <c r="Q14" s="13" t="n">
        <v>1</v>
      </c>
      <c r="R14" s="1" t="n">
        <v>1</v>
      </c>
      <c r="S14" s="1" t="n">
        <v>1</v>
      </c>
      <c r="T14" s="1" t="n">
        <v>1</v>
      </c>
      <c r="U14" s="1" t="n">
        <v>1</v>
      </c>
      <c r="V14" s="1" t="n">
        <v>1</v>
      </c>
      <c r="W14" s="4" t="n">
        <v>1</v>
      </c>
      <c r="X14" s="4" t="n">
        <v>1</v>
      </c>
      <c r="Y14" s="4" t="n">
        <v>1</v>
      </c>
      <c r="Z14" s="4" t="n">
        <v>0</v>
      </c>
      <c r="AA14" s="4" t="n">
        <v>0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</row>
    <row r="15" customFormat="false" ht="12.8" hidden="false" customHeight="false" outlineLevel="0" collapsed="false">
      <c r="A15" s="1" t="n">
        <v>2085129</v>
      </c>
      <c r="B15" s="1" t="n">
        <f aca="false">(15*C15 + 25*D15 + 15*E15 + 25*F15 + 20*G15)</f>
        <v>81</v>
      </c>
      <c r="C15" s="2" t="n">
        <f aca="false">(H15 + I15 + J15 +K15 + L15)/5</f>
        <v>0.4</v>
      </c>
      <c r="D15" s="2" t="n">
        <f aca="false">(M15 + N15 + O15 +P15 + Q15)/5</f>
        <v>1</v>
      </c>
      <c r="E15" s="2" t="n">
        <f aca="false">(R15 + S15 + T15 +U15 + V15)/5</f>
        <v>1</v>
      </c>
      <c r="F15" s="2" t="n">
        <f aca="false">(W15 + X15 + Y15 +Z15 + AA15)/5</f>
        <v>0.6</v>
      </c>
      <c r="G15" s="2" t="n">
        <f aca="false">(AB15 + AC15 + AD15 +AE15 + AF15)/5</f>
        <v>1</v>
      </c>
      <c r="H15" s="1" t="n">
        <v>1</v>
      </c>
      <c r="I15" s="1" t="n">
        <v>1</v>
      </c>
      <c r="J15" s="1" t="n">
        <v>0</v>
      </c>
      <c r="K15" s="1" t="n">
        <v>0</v>
      </c>
      <c r="L15" s="1" t="n">
        <v>0</v>
      </c>
      <c r="M15" s="13" t="n">
        <v>1</v>
      </c>
      <c r="N15" s="13" t="n">
        <v>1</v>
      </c>
      <c r="O15" s="13" t="n">
        <v>1</v>
      </c>
      <c r="P15" s="13" t="n">
        <v>1</v>
      </c>
      <c r="Q15" s="13" t="n">
        <v>1</v>
      </c>
      <c r="R15" s="1" t="n">
        <v>1</v>
      </c>
      <c r="S15" s="1" t="n">
        <v>1</v>
      </c>
      <c r="T15" s="1" t="n">
        <v>1</v>
      </c>
      <c r="U15" s="1" t="n">
        <v>1</v>
      </c>
      <c r="V15" s="1" t="n">
        <v>1</v>
      </c>
      <c r="W15" s="4" t="n">
        <v>1</v>
      </c>
      <c r="X15" s="4" t="n">
        <v>1</v>
      </c>
      <c r="Y15" s="4" t="n">
        <v>1</v>
      </c>
      <c r="Z15" s="4" t="n">
        <v>0</v>
      </c>
      <c r="AA15" s="4" t="n">
        <v>0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</row>
    <row r="16" customFormat="false" ht="12.8" hidden="false" customHeight="false" outlineLevel="0" collapsed="false">
      <c r="A16" s="1" t="n">
        <v>1943337</v>
      </c>
      <c r="B16" s="1" t="n">
        <f aca="false">(15*C16 + 25*D16 + 15*E16 + 25*F16 + 20*G16)</f>
        <v>76</v>
      </c>
      <c r="C16" s="2" t="n">
        <f aca="false">(H16 + I16 + J16 +K16 + L16)/5</f>
        <v>0.4</v>
      </c>
      <c r="D16" s="2" t="n">
        <f aca="false">(M16 + N16 + O16 +P16 + Q16)/5</f>
        <v>0.8</v>
      </c>
      <c r="E16" s="2" t="n">
        <f aca="false">(R16 + S16 + T16 +U16 + V16)/5</f>
        <v>1</v>
      </c>
      <c r="F16" s="2" t="n">
        <f aca="false">(W16 + X16 + Y16 +Z16 + AA16)/5</f>
        <v>0.6</v>
      </c>
      <c r="G16" s="2" t="n">
        <f aca="false">(AB16 + AC16 + AD16 +AE16 + AF16)/5</f>
        <v>1</v>
      </c>
      <c r="H16" s="1" t="n">
        <v>1</v>
      </c>
      <c r="I16" s="1" t="n">
        <v>1</v>
      </c>
      <c r="J16" s="1" t="n">
        <v>0</v>
      </c>
      <c r="K16" s="1" t="n">
        <v>0</v>
      </c>
      <c r="L16" s="1" t="n">
        <v>0</v>
      </c>
      <c r="M16" s="13" t="n">
        <v>1</v>
      </c>
      <c r="N16" s="13" t="n">
        <v>0</v>
      </c>
      <c r="O16" s="13" t="n">
        <v>1</v>
      </c>
      <c r="P16" s="13" t="n">
        <v>1</v>
      </c>
      <c r="Q16" s="13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  <c r="W16" s="4" t="n">
        <v>1</v>
      </c>
      <c r="X16" s="4" t="n">
        <v>1</v>
      </c>
      <c r="Y16" s="4" t="n">
        <v>1</v>
      </c>
      <c r="Z16" s="4" t="n">
        <v>0</v>
      </c>
      <c r="AA16" s="4" t="n">
        <v>0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1</v>
      </c>
    </row>
    <row r="17" customFormat="false" ht="12.8" hidden="false" customHeight="false" outlineLevel="0" collapsed="false">
      <c r="A17" s="1" t="n">
        <v>2047402</v>
      </c>
      <c r="B17" s="1" t="n">
        <f aca="false">(15*C17 + 25*D17 + 15*E17 + 25*F17 + 20*G17)</f>
        <v>61</v>
      </c>
      <c r="C17" s="2" t="n">
        <f aca="false">(H17 + I17 + J17 +K17 + L17)/5</f>
        <v>0.4</v>
      </c>
      <c r="D17" s="2" t="n">
        <f aca="false">(M17 + N17 + O17 +P17 + Q17)/5</f>
        <v>0.2</v>
      </c>
      <c r="E17" s="2" t="n">
        <f aca="false">(R17 + S17 + T17 +U17 + V17)/5</f>
        <v>1</v>
      </c>
      <c r="F17" s="2" t="n">
        <f aca="false">(W17 + X17 + Y17 +Z17 + AA17)/5</f>
        <v>0.6</v>
      </c>
      <c r="G17" s="2" t="n">
        <f aca="false">(AB17 + AC17 + AD17 +AE17 + AF17)/5</f>
        <v>1</v>
      </c>
      <c r="H17" s="1" t="n">
        <v>1</v>
      </c>
      <c r="I17" s="1" t="n">
        <v>1</v>
      </c>
      <c r="J17" s="1" t="n">
        <v>0</v>
      </c>
      <c r="K17" s="1" t="n">
        <v>0</v>
      </c>
      <c r="L17" s="1" t="n">
        <v>0</v>
      </c>
      <c r="M17" s="13" t="n">
        <v>0</v>
      </c>
      <c r="N17" s="13" t="n">
        <v>1</v>
      </c>
      <c r="O17" s="13" t="n">
        <v>0</v>
      </c>
      <c r="P17" s="13" t="n">
        <v>0</v>
      </c>
      <c r="Q17" s="13" t="n">
        <v>0</v>
      </c>
      <c r="R17" s="1" t="n">
        <v>1</v>
      </c>
      <c r="S17" s="1" t="n">
        <v>1</v>
      </c>
      <c r="T17" s="1" t="n">
        <v>1</v>
      </c>
      <c r="U17" s="1" t="n">
        <v>1</v>
      </c>
      <c r="V17" s="1" t="n">
        <v>1</v>
      </c>
      <c r="W17" s="4" t="n">
        <v>1</v>
      </c>
      <c r="X17" s="4" t="n">
        <v>1</v>
      </c>
      <c r="Y17" s="4" t="n">
        <v>1</v>
      </c>
      <c r="Z17" s="4" t="n">
        <v>0</v>
      </c>
      <c r="AA17" s="4" t="n">
        <v>0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1</v>
      </c>
    </row>
    <row r="18" customFormat="false" ht="12.8" hidden="false" customHeight="false" outlineLevel="0" collapsed="false">
      <c r="A18" s="1" t="n">
        <v>1996623</v>
      </c>
      <c r="B18" s="1" t="n">
        <f aca="false">(15*C18 + 25*D18 + 15*E18 + 25*F18 + 20*G18)</f>
        <v>4.2</v>
      </c>
      <c r="C18" s="2" t="n">
        <f aca="false">(H18 + I18 + J18 +K18 + L18)/5</f>
        <v>0.28</v>
      </c>
      <c r="D18" s="2" t="n">
        <f aca="false">(M18 + N18 + O18 +P18 + Q18)/5</f>
        <v>0</v>
      </c>
      <c r="E18" s="2" t="n">
        <f aca="false">(R18 + S18 + T18 +U18 + V18)/5</f>
        <v>0</v>
      </c>
      <c r="F18" s="2" t="n">
        <f aca="false">(W18 + X18 + Y18 +Z18 + AA18)/5</f>
        <v>0</v>
      </c>
      <c r="G18" s="2" t="n">
        <f aca="false">(AB18 + AC18 + AD18 +AE18 + AF18)/5</f>
        <v>0</v>
      </c>
      <c r="H18" s="1" t="n">
        <v>0.7</v>
      </c>
      <c r="I18" s="1" t="n">
        <v>0.7</v>
      </c>
      <c r="J18" s="1" t="n">
        <v>0</v>
      </c>
      <c r="K18" s="1" t="n">
        <v>0</v>
      </c>
      <c r="L18" s="1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</row>
    <row r="19" customFormat="false" ht="12.8" hidden="false" customHeight="false" outlineLevel="0" collapsed="false">
      <c r="A19" s="1" t="n">
        <v>1938972</v>
      </c>
      <c r="B19" s="1" t="n">
        <f aca="false">(15*C19 + 25*D19 + 15*E19 + 25*F19 + 20*G19)</f>
        <v>3</v>
      </c>
      <c r="C19" s="2" t="n">
        <f aca="false">(H19 + I19 + J19 +K19 + L19)/5</f>
        <v>0</v>
      </c>
      <c r="D19" s="2" t="n">
        <f aca="false">(M19 + N19 + O19 +P19 + Q19)/5</f>
        <v>0</v>
      </c>
      <c r="E19" s="2" t="n">
        <f aca="false">(R19 + S19 + T19 +U19 + V19)/5</f>
        <v>0.2</v>
      </c>
      <c r="F19" s="2" t="n">
        <f aca="false">(W19 + X19 + Y19 +Z19 + AA19)/5</f>
        <v>0</v>
      </c>
      <c r="G19" s="2" t="n">
        <f aca="false">(AB19 + AC19 + AD19 +AE19 + AF19)/5</f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" t="n">
        <v>1</v>
      </c>
      <c r="S19" s="1" t="n">
        <v>0</v>
      </c>
      <c r="T19" s="1" t="n">
        <v>0</v>
      </c>
      <c r="U19" s="1" t="n">
        <v>0</v>
      </c>
      <c r="V19" s="1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</row>
    <row r="20" customFormat="false" ht="12.8" hidden="false" customHeight="false" outlineLevel="0" collapsed="false">
      <c r="A20" s="1" t="n">
        <v>2072224</v>
      </c>
      <c r="B20" s="1" t="n">
        <f aca="false">(15*C20 + 25*D20 + 15*E20 + 25*F20 + 20*G20)</f>
        <v>57</v>
      </c>
      <c r="C20" s="2" t="n">
        <f aca="false">(H20 + I20 + J20 +K20 + L20)/5</f>
        <v>0</v>
      </c>
      <c r="D20" s="2" t="n">
        <f aca="false">(M20 + N20 + O20 +P20 + Q20)/5</f>
        <v>0</v>
      </c>
      <c r="E20" s="2" t="n">
        <f aca="false">(R20 + S20 + T20 +U20 + V20)/5</f>
        <v>0.8</v>
      </c>
      <c r="F20" s="2" t="n">
        <f aca="false">(W20 + X20 + Y20 +Z20 + AA20)/5</f>
        <v>1</v>
      </c>
      <c r="G20" s="2" t="n">
        <f aca="false">(AB20 + AC20 + AD20 +AE20 + AF20)/5</f>
        <v>1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" t="n">
        <v>0</v>
      </c>
      <c r="S20" s="1" t="n">
        <v>1</v>
      </c>
      <c r="T20" s="1" t="n">
        <v>1</v>
      </c>
      <c r="U20" s="1" t="n">
        <v>1</v>
      </c>
      <c r="V20" s="1" t="n">
        <v>1</v>
      </c>
      <c r="W20" s="4" t="n">
        <v>1</v>
      </c>
      <c r="X20" s="4" t="n">
        <v>1</v>
      </c>
      <c r="Y20" s="4" t="n">
        <v>1</v>
      </c>
      <c r="Z20" s="4" t="n">
        <v>1</v>
      </c>
      <c r="AA20" s="4" t="n">
        <v>1</v>
      </c>
      <c r="AB20" s="3" t="n">
        <v>1</v>
      </c>
      <c r="AC20" s="3" t="n">
        <v>1</v>
      </c>
      <c r="AD20" s="3" t="n">
        <v>1</v>
      </c>
      <c r="AE20" s="3" t="n">
        <v>1</v>
      </c>
      <c r="AF20" s="3" t="n">
        <v>1</v>
      </c>
    </row>
    <row r="21" customFormat="false" ht="12.8" hidden="false" customHeight="false" outlineLevel="0" collapsed="false">
      <c r="A21" s="1" t="n">
        <v>2067545</v>
      </c>
      <c r="B21" s="1" t="n">
        <f aca="false">(15*C21 + 25*D21 + 15*E21 + 25*F21 + 20*G21)</f>
        <v>22.2</v>
      </c>
      <c r="C21" s="2" t="n">
        <f aca="false">(H21 + I21 + J21 +K21 + L21)/5</f>
        <v>0.28</v>
      </c>
      <c r="D21" s="2" t="n">
        <f aca="false">(M21 + N21 + O21 +P21 + Q21)/5</f>
        <v>0.6</v>
      </c>
      <c r="E21" s="2" t="n">
        <f aca="false">(R21 + S21 + T21 +U21 + V21)/5</f>
        <v>0.2</v>
      </c>
      <c r="F21" s="2" t="n">
        <f aca="false">(W21 + X21 + Y21 +Z21 + AA21)/5</f>
        <v>0</v>
      </c>
      <c r="G21" s="2" t="n">
        <f aca="false">(AB21 + AC21 + AD21 +AE21 + AF21)/5</f>
        <v>0</v>
      </c>
      <c r="H21" s="1" t="n">
        <v>0.7</v>
      </c>
      <c r="I21" s="1" t="n">
        <v>0.7</v>
      </c>
      <c r="J21" s="1" t="n">
        <v>0</v>
      </c>
      <c r="K21" s="1" t="n">
        <v>0</v>
      </c>
      <c r="L21" s="1" t="n">
        <v>0</v>
      </c>
      <c r="M21" s="13" t="n">
        <v>0</v>
      </c>
      <c r="N21" s="13" t="n">
        <v>0</v>
      </c>
      <c r="O21" s="13" t="n">
        <v>1</v>
      </c>
      <c r="P21" s="13" t="n">
        <v>1</v>
      </c>
      <c r="Q21" s="13" t="n">
        <v>1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</row>
    <row r="22" customFormat="false" ht="12.8" hidden="false" customHeight="false" outlineLevel="0" collapsed="false">
      <c r="A22" s="1" t="n">
        <v>2084918</v>
      </c>
      <c r="B22" s="1" t="n">
        <f aca="false">(15*C22 + 25*D22 + 15*E22 + 25*F22 + 20*G22)</f>
        <v>0</v>
      </c>
      <c r="C22" s="2" t="n">
        <f aca="false">(H22 + I22 + J22 +K22 + L22)/5</f>
        <v>0</v>
      </c>
      <c r="D22" s="2" t="n">
        <f aca="false">(M22 + N22 + O22 +P22 + Q22)/5</f>
        <v>0</v>
      </c>
      <c r="E22" s="2" t="n">
        <f aca="false">(R22 + S22 + T22 +U22 + V22)/5</f>
        <v>0</v>
      </c>
      <c r="F22" s="2" t="n">
        <f aca="false">(W22 + X22 + Y22 +Z22 + AA22)/5</f>
        <v>0</v>
      </c>
      <c r="G22" s="2" t="n">
        <f aca="false">(AB22 + AC22 + AD22 +AE22 + AF22)/5</f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</row>
    <row r="23" customFormat="false" ht="12.8" hidden="false" customHeight="false" outlineLevel="0" collapsed="false">
      <c r="A23" s="1" t="n">
        <v>2086939</v>
      </c>
      <c r="B23" s="1" t="n">
        <f aca="false">(15*C23 + 25*D23 + 15*E23 + 25*F23 + 20*G23)</f>
        <v>46</v>
      </c>
      <c r="C23" s="2" t="n">
        <f aca="false">(H23 + I23 + J23 +K23 + L23)/5</f>
        <v>0.4</v>
      </c>
      <c r="D23" s="2" t="n">
        <f aca="false">(M23 + N23 + O23 +P23 + Q23)/5</f>
        <v>1</v>
      </c>
      <c r="E23" s="2" t="n">
        <f aca="false">(R23 + S23 + T23 +U23 + V23)/5</f>
        <v>1</v>
      </c>
      <c r="F23" s="2" t="n">
        <f aca="false">(W23 + X23 + Y23 +Z23 + AA23)/5</f>
        <v>0</v>
      </c>
      <c r="G23" s="2" t="n">
        <f aca="false">(AB23 + AC23 + AD23 +AE23 + AF23)/5</f>
        <v>0</v>
      </c>
      <c r="H23" s="1" t="n">
        <v>1</v>
      </c>
      <c r="I23" s="1" t="n">
        <v>1</v>
      </c>
      <c r="J23" s="1" t="n">
        <v>0</v>
      </c>
      <c r="K23" s="1" t="n">
        <v>0</v>
      </c>
      <c r="L23" s="1" t="n">
        <v>0</v>
      </c>
      <c r="M23" s="13" t="n">
        <v>1</v>
      </c>
      <c r="N23" s="13" t="n">
        <v>1</v>
      </c>
      <c r="O23" s="13" t="n">
        <v>1</v>
      </c>
      <c r="P23" s="13" t="n">
        <v>1</v>
      </c>
      <c r="Q23" s="13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</row>
    <row r="24" customFormat="false" ht="12.8" hidden="false" customHeight="false" outlineLevel="0" collapsed="false">
      <c r="A24" s="1" t="n">
        <v>2053287</v>
      </c>
      <c r="B24" s="1" t="n">
        <f aca="false">(15*C24 + 25*D24 + 15*E24 + 25*F24 + 20*G24)</f>
        <v>0</v>
      </c>
      <c r="C24" s="2" t="n">
        <f aca="false">(H24 + I24 + J24 +K24 + L24)/5</f>
        <v>0</v>
      </c>
      <c r="D24" s="2" t="n">
        <f aca="false">(M24 + N24 + O24 +P24 + Q24)/5</f>
        <v>0</v>
      </c>
      <c r="E24" s="2" t="n">
        <f aca="false">(R24 + S24 + T24 +U24 + V24)/5</f>
        <v>0</v>
      </c>
      <c r="F24" s="2" t="n">
        <f aca="false">(W24 + X24 + Y24 +Z24 + AA24)/5</f>
        <v>0</v>
      </c>
      <c r="G24" s="2" t="n">
        <f aca="false">(AB24 + AC24 + AD24 +AE24 + AF24)/5</f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</row>
    <row r="25" customFormat="false" ht="12.8" hidden="false" customHeight="false" outlineLevel="0" collapsed="false">
      <c r="A25" s="1" t="n">
        <v>270317</v>
      </c>
      <c r="B25" s="1" t="n">
        <f aca="false">(15*C25 + 25*D25 + 15*E25 + 25*F25 + 20*G25)</f>
        <v>7.2</v>
      </c>
      <c r="C25" s="2" t="n">
        <f aca="false">(H25 + I25 + J25 +K25 + L25)/5</f>
        <v>0.28</v>
      </c>
      <c r="D25" s="2" t="n">
        <f aca="false">(M25 + N25 + O25 +P25 + Q25)/5</f>
        <v>0</v>
      </c>
      <c r="E25" s="2" t="n">
        <f aca="false">(R25 + S25 + T25 +U25 + V25)/5</f>
        <v>0.2</v>
      </c>
      <c r="F25" s="2" t="n">
        <f aca="false">(W25 + X25 + Y25 +Z25 + AA25)/5</f>
        <v>0</v>
      </c>
      <c r="G25" s="2" t="n">
        <f aca="false">(AB25 + AC25 + AD25 +AE25 + AF25)/5</f>
        <v>0</v>
      </c>
      <c r="H25" s="1" t="n">
        <v>0.7</v>
      </c>
      <c r="I25" s="1" t="n">
        <v>0.7</v>
      </c>
      <c r="J25" s="1" t="n">
        <v>0</v>
      </c>
      <c r="K25" s="1" t="n">
        <v>0</v>
      </c>
      <c r="L25" s="1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" t="n">
        <v>0</v>
      </c>
      <c r="S25" s="1" t="n">
        <v>0</v>
      </c>
      <c r="T25" s="1" t="n">
        <v>0</v>
      </c>
      <c r="U25" s="1" t="n">
        <v>1</v>
      </c>
      <c r="V25" s="1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</row>
    <row r="26" customFormat="false" ht="12.8" hidden="false" customHeight="false" outlineLevel="0" collapsed="false">
      <c r="A26" s="1" t="n">
        <v>2046738</v>
      </c>
      <c r="B26" s="1" t="n">
        <f aca="false">(15*C26 + 25*D26 + 15*E26 + 25*F26 + 20*G26)</f>
        <v>91</v>
      </c>
      <c r="C26" s="2" t="n">
        <f aca="false">(H26 + I26 + J26 +K26 + L26)/5</f>
        <v>0.4</v>
      </c>
      <c r="D26" s="2" t="n">
        <f aca="false">(M26 + N26 + O26 +P26 + Q26)/5</f>
        <v>1</v>
      </c>
      <c r="E26" s="2" t="n">
        <f aca="false">(R26 + S26 + T26 +U26 + V26)/5</f>
        <v>1</v>
      </c>
      <c r="F26" s="2" t="n">
        <f aca="false">(W26 + X26 + Y26 +Z26 + AA26)/5</f>
        <v>1</v>
      </c>
      <c r="G26" s="2" t="n">
        <f aca="false">(AB26 + AC26 + AD26 +AE26 + AF26)/5</f>
        <v>1</v>
      </c>
      <c r="H26" s="1" t="n">
        <v>1</v>
      </c>
      <c r="I26" s="1" t="n">
        <v>1</v>
      </c>
      <c r="J26" s="1" t="n">
        <v>0</v>
      </c>
      <c r="K26" s="1" t="n">
        <v>0</v>
      </c>
      <c r="L26" s="1" t="n">
        <v>0</v>
      </c>
      <c r="M26" s="13" t="n">
        <v>1</v>
      </c>
      <c r="N26" s="13" t="n">
        <v>1</v>
      </c>
      <c r="O26" s="13" t="n">
        <v>1</v>
      </c>
      <c r="P26" s="13" t="n">
        <v>1</v>
      </c>
      <c r="Q26" s="13" t="n">
        <v>1</v>
      </c>
      <c r="R26" s="1" t="n">
        <v>1</v>
      </c>
      <c r="S26" s="1" t="n">
        <v>1</v>
      </c>
      <c r="T26" s="1" t="n">
        <v>1</v>
      </c>
      <c r="U26" s="1" t="n">
        <v>1</v>
      </c>
      <c r="V26" s="1" t="n">
        <v>1</v>
      </c>
      <c r="W26" s="4" t="n">
        <v>1</v>
      </c>
      <c r="X26" s="4" t="n">
        <v>1</v>
      </c>
      <c r="Y26" s="4" t="n">
        <v>1</v>
      </c>
      <c r="Z26" s="4" t="n">
        <v>1</v>
      </c>
      <c r="AA26" s="4" t="n">
        <v>1</v>
      </c>
      <c r="AB26" s="3" t="n">
        <v>1</v>
      </c>
      <c r="AC26" s="3" t="n">
        <v>1</v>
      </c>
      <c r="AD26" s="3" t="n">
        <v>1</v>
      </c>
      <c r="AE26" s="3" t="n">
        <v>1</v>
      </c>
      <c r="AF26" s="3" t="n">
        <v>1</v>
      </c>
    </row>
    <row r="27" customFormat="false" ht="12.8" hidden="false" customHeight="false" outlineLevel="0" collapsed="false">
      <c r="A27" s="1" t="n">
        <v>2084581</v>
      </c>
      <c r="B27" s="1" t="n">
        <f aca="false">(15*C27 + 25*D27 + 15*E27 + 25*F27 + 20*G27)</f>
        <v>31.2</v>
      </c>
      <c r="C27" s="2" t="n">
        <f aca="false">(H27 + I27 + J27 +K27 + L27)/5</f>
        <v>0.28</v>
      </c>
      <c r="D27" s="2" t="n">
        <f aca="false">(M27 + N27 + O27 +P27 + Q27)/5</f>
        <v>0.4</v>
      </c>
      <c r="E27" s="2" t="n">
        <f aca="false">(R27 + S27 + T27 +U27 + V27)/5</f>
        <v>0.2</v>
      </c>
      <c r="F27" s="2" t="n">
        <f aca="false">(W27 + X27 + Y27 +Z27 + AA27)/5</f>
        <v>0.4</v>
      </c>
      <c r="G27" s="2" t="n">
        <f aca="false">(AB27 + AC27 + AD27 +AE27 + AF27)/5</f>
        <v>0.2</v>
      </c>
      <c r="H27" s="1" t="n">
        <v>0.7</v>
      </c>
      <c r="I27" s="1" t="n">
        <v>0.7</v>
      </c>
      <c r="J27" s="1" t="n">
        <v>0</v>
      </c>
      <c r="K27" s="1" t="n">
        <v>0</v>
      </c>
      <c r="L27" s="1" t="n">
        <v>0</v>
      </c>
      <c r="M27" s="13" t="n">
        <v>0</v>
      </c>
      <c r="N27" s="13" t="n">
        <v>0</v>
      </c>
      <c r="O27" s="13" t="n">
        <v>1</v>
      </c>
      <c r="P27" s="13" t="n">
        <v>1</v>
      </c>
      <c r="Q27" s="13" t="n">
        <v>0</v>
      </c>
      <c r="R27" s="1" t="n">
        <v>0</v>
      </c>
      <c r="S27" s="1" t="n">
        <v>0</v>
      </c>
      <c r="T27" s="1" t="n">
        <v>0</v>
      </c>
      <c r="U27" s="1" t="n">
        <v>1</v>
      </c>
      <c r="V27" s="1" t="n">
        <v>0</v>
      </c>
      <c r="W27" s="4" t="n">
        <v>0</v>
      </c>
      <c r="X27" s="4" t="n">
        <v>1</v>
      </c>
      <c r="Y27" s="4" t="n">
        <v>0</v>
      </c>
      <c r="Z27" s="4" t="n">
        <v>0</v>
      </c>
      <c r="AA27" s="4" t="n">
        <v>1</v>
      </c>
      <c r="AB27" s="3" t="n">
        <v>1</v>
      </c>
      <c r="AC27" s="3" t="n">
        <v>0</v>
      </c>
      <c r="AD27" s="3" t="n">
        <v>0</v>
      </c>
      <c r="AE27" s="3" t="n">
        <v>0</v>
      </c>
      <c r="AF27" s="3" t="n">
        <v>0</v>
      </c>
    </row>
    <row r="28" customFormat="false" ht="12.8" hidden="false" customHeight="false" outlineLevel="0" collapsed="false">
      <c r="A28" s="1" t="n">
        <v>2054772</v>
      </c>
      <c r="B28" s="1" t="n">
        <f aca="false">(15*C28 + 25*D28 + 15*E28 + 25*F28 + 20*G28)</f>
        <v>54</v>
      </c>
      <c r="C28" s="2" t="n">
        <f aca="false">(H28 + I28 + J28 +K28 + L28)/5</f>
        <v>0</v>
      </c>
      <c r="D28" s="2" t="n">
        <f aca="false">(M28 + N28 + O28 +P28 + Q28)/5</f>
        <v>1</v>
      </c>
      <c r="E28" s="2" t="n">
        <f aca="false">(R28 + S28 + T28 +U28 + V28)/5</f>
        <v>0</v>
      </c>
      <c r="F28" s="2" t="n">
        <f aca="false">(W28 + X28 + Y28 +Z28 + AA28)/5</f>
        <v>1</v>
      </c>
      <c r="G28" s="2" t="n">
        <f aca="false">(AB28 + AC28 + AD28 +AE28 + AF28)/5</f>
        <v>0.2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3" t="n">
        <v>1</v>
      </c>
      <c r="N28" s="13" t="n">
        <v>1</v>
      </c>
      <c r="O28" s="13" t="n">
        <v>1</v>
      </c>
      <c r="P28" s="13" t="n">
        <v>1</v>
      </c>
      <c r="Q28" s="13" t="n">
        <v>1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4" t="n">
        <v>1</v>
      </c>
      <c r="X28" s="4" t="n">
        <v>1</v>
      </c>
      <c r="Y28" s="4" t="n">
        <v>1</v>
      </c>
      <c r="Z28" s="4" t="n">
        <v>1</v>
      </c>
      <c r="AA28" s="4" t="n">
        <v>1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</row>
    <row r="29" customFormat="false" ht="12.8" hidden="false" customHeight="false" outlineLevel="0" collapsed="false">
      <c r="A29" s="1" t="n">
        <v>2043415</v>
      </c>
      <c r="B29" s="1" t="n">
        <f aca="false">(15*C29 + 25*D29 + 15*E29 + 25*F29 + 20*G29)</f>
        <v>37</v>
      </c>
      <c r="C29" s="2" t="n">
        <f aca="false">(H29 + I29 + J29 +K29 + L29)/5</f>
        <v>0.4</v>
      </c>
      <c r="D29" s="2" t="n">
        <f aca="false">(M29 + N29 + O29 +P29 + Q29)/5</f>
        <v>1</v>
      </c>
      <c r="E29" s="2" t="n">
        <f aca="false">(R29 + S29 + T29 +U29 + V29)/5</f>
        <v>0.4</v>
      </c>
      <c r="F29" s="2" t="n">
        <f aca="false">(W29 + X29 + Y29 +Z29 + AA29)/5</f>
        <v>0</v>
      </c>
      <c r="G29" s="2" t="n">
        <f aca="false">(AB29 + AC29 + AD29 +AE29 + AF29)/5</f>
        <v>0</v>
      </c>
      <c r="H29" s="1" t="n">
        <v>1</v>
      </c>
      <c r="I29" s="1" t="n">
        <v>1</v>
      </c>
      <c r="J29" s="1" t="n">
        <v>0</v>
      </c>
      <c r="K29" s="1" t="n">
        <v>0</v>
      </c>
      <c r="L29" s="1" t="n">
        <v>0</v>
      </c>
      <c r="M29" s="13" t="n">
        <v>1</v>
      </c>
      <c r="N29" s="13" t="n">
        <v>1</v>
      </c>
      <c r="O29" s="13" t="n">
        <v>1</v>
      </c>
      <c r="P29" s="13" t="n">
        <v>1</v>
      </c>
      <c r="Q29" s="13" t="n">
        <v>1</v>
      </c>
      <c r="R29" s="1" t="n">
        <v>0</v>
      </c>
      <c r="S29" s="1" t="n">
        <v>1</v>
      </c>
      <c r="T29" s="1" t="n">
        <v>0</v>
      </c>
      <c r="U29" s="1" t="n">
        <v>0</v>
      </c>
      <c r="V29" s="1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</row>
    <row r="30" customFormat="false" ht="12.8" hidden="false" customHeight="false" outlineLevel="0" collapsed="false">
      <c r="A30" s="1" t="n">
        <v>2043364</v>
      </c>
      <c r="B30" s="1" t="n">
        <f aca="false">(15*C30 + 25*D30 + 15*E30 + 25*F30 + 20*G30)</f>
        <v>32.2</v>
      </c>
      <c r="C30" s="2" t="n">
        <f aca="false">(H30 + I30 + J30 +K30 + L30)/5</f>
        <v>0.28</v>
      </c>
      <c r="D30" s="2" t="n">
        <f aca="false">(M30 + N30 + O30 +P30 + Q30)/5</f>
        <v>1</v>
      </c>
      <c r="E30" s="2" t="n">
        <f aca="false">(R30 + S30 + T30 +U30 + V30)/5</f>
        <v>0.2</v>
      </c>
      <c r="F30" s="2" t="n">
        <f aca="false">(W30 + X30 + Y30 +Z30 + AA30)/5</f>
        <v>0</v>
      </c>
      <c r="G30" s="2" t="n">
        <f aca="false">(AB30 + AC30 + AD30 +AE30 + AF30)/5</f>
        <v>0</v>
      </c>
      <c r="H30" s="1" t="n">
        <v>0.7</v>
      </c>
      <c r="I30" s="1" t="n">
        <v>0.7</v>
      </c>
      <c r="J30" s="1" t="n">
        <v>0</v>
      </c>
      <c r="K30" s="1" t="n">
        <v>0</v>
      </c>
      <c r="L30" s="1" t="n">
        <v>0</v>
      </c>
      <c r="M30" s="13" t="n">
        <v>1</v>
      </c>
      <c r="N30" s="13" t="n">
        <v>1</v>
      </c>
      <c r="O30" s="13" t="n">
        <v>1</v>
      </c>
      <c r="P30" s="13" t="n">
        <v>1</v>
      </c>
      <c r="Q30" s="13" t="n">
        <v>1</v>
      </c>
      <c r="R30" s="1" t="n">
        <v>0</v>
      </c>
      <c r="S30" s="1" t="n">
        <v>0</v>
      </c>
      <c r="T30" s="1" t="n">
        <v>0</v>
      </c>
      <c r="U30" s="1" t="n">
        <v>1</v>
      </c>
      <c r="V30" s="1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</row>
    <row r="31" customFormat="false" ht="12.8" hidden="false" customHeight="false" outlineLevel="0" collapsed="false">
      <c r="A31" s="1" t="n">
        <v>1894979</v>
      </c>
      <c r="B31" s="1" t="n">
        <f aca="false">(15*C31 + 25*D31 + 15*E31 + 25*F31 + 20*G31)</f>
        <v>56</v>
      </c>
      <c r="C31" s="2" t="n">
        <f aca="false">(H31 + I31 + J31 +K31 + L31)/5</f>
        <v>0.4</v>
      </c>
      <c r="D31" s="2" t="n">
        <f aca="false">(M31 + N31 + O31 +P31 + Q31)/5</f>
        <v>0</v>
      </c>
      <c r="E31" s="2" t="n">
        <f aca="false">(R31 + S31 + T31 +U31 + V31)/5</f>
        <v>1</v>
      </c>
      <c r="F31" s="2" t="n">
        <f aca="false">(W31 + X31 + Y31 +Z31 + AA31)/5</f>
        <v>0.6</v>
      </c>
      <c r="G31" s="2" t="n">
        <f aca="false">(AB31 + AC31 + AD31 +AE31 + AF31)/5</f>
        <v>1</v>
      </c>
      <c r="H31" s="1" t="n">
        <v>1</v>
      </c>
      <c r="I31" s="1" t="n">
        <v>1</v>
      </c>
      <c r="J31" s="1" t="n">
        <v>0</v>
      </c>
      <c r="K31" s="1" t="n">
        <v>0</v>
      </c>
      <c r="L31" s="1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" t="n">
        <v>1</v>
      </c>
      <c r="S31" s="1" t="n">
        <v>1</v>
      </c>
      <c r="T31" s="1" t="n">
        <v>1</v>
      </c>
      <c r="U31" s="1" t="n">
        <v>1</v>
      </c>
      <c r="V31" s="1" t="n">
        <v>1</v>
      </c>
      <c r="W31" s="4" t="n">
        <v>1</v>
      </c>
      <c r="X31" s="4" t="n">
        <v>1</v>
      </c>
      <c r="Y31" s="4" t="n">
        <v>1</v>
      </c>
      <c r="Z31" s="4" t="n">
        <v>0</v>
      </c>
      <c r="AA31" s="4" t="n">
        <v>0</v>
      </c>
      <c r="AB31" s="3" t="n">
        <v>1</v>
      </c>
      <c r="AC31" s="3" t="n">
        <v>1</v>
      </c>
      <c r="AD31" s="3" t="n">
        <v>1</v>
      </c>
      <c r="AE31" s="3" t="n">
        <v>1</v>
      </c>
      <c r="AF31" s="3" t="n">
        <v>1</v>
      </c>
    </row>
    <row r="32" customFormat="false" ht="12.8" hidden="false" customHeight="false" outlineLevel="0" collapsed="false">
      <c r="A32" s="1" t="n">
        <v>1938314</v>
      </c>
      <c r="B32" s="1" t="n">
        <f aca="false">(15*C32 + 25*D32 + 15*E32 + 25*F32 + 20*G32)</f>
        <v>0</v>
      </c>
      <c r="C32" s="2" t="n">
        <f aca="false">(H32 + I32 + J32 +K32 + L32)/5</f>
        <v>0</v>
      </c>
      <c r="D32" s="2" t="n">
        <f aca="false">(M32 + N32 + O32 +P32 + Q32)/5</f>
        <v>0</v>
      </c>
      <c r="E32" s="2" t="n">
        <f aca="false">(R32 + S32 + T32 +U32 + V32)/5</f>
        <v>0</v>
      </c>
      <c r="F32" s="2" t="n">
        <f aca="false">(W32 + X32 + Y32 +Z32 + AA32)/5</f>
        <v>0</v>
      </c>
      <c r="G32" s="2" t="n">
        <f aca="false">(AB32 + AC32 + AD32 +AE32 + AF32)/5</f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</row>
    <row r="33" customFormat="false" ht="12.8" hidden="false" customHeight="false" outlineLevel="0" collapsed="false">
      <c r="A33" s="1" t="n">
        <v>2080998</v>
      </c>
      <c r="B33" s="1" t="n">
        <f aca="false">(15*C33 + 25*D33 + 15*E33 + 25*F33 + 20*G33)</f>
        <v>6</v>
      </c>
      <c r="C33" s="2" t="n">
        <f aca="false">(H33 + I33 + J33 +K33 + L33)/5</f>
        <v>0.4</v>
      </c>
      <c r="D33" s="2" t="n">
        <f aca="false">(M33 + N33 + O33 +P33 + Q33)/5</f>
        <v>0</v>
      </c>
      <c r="E33" s="2" t="n">
        <f aca="false">(R33 + S33 + T33 +U33 + V33)/5</f>
        <v>0</v>
      </c>
      <c r="F33" s="2" t="n">
        <f aca="false">(W33 + X33 + Y33 +Z33 + AA33)/5</f>
        <v>0</v>
      </c>
      <c r="G33" s="2" t="n">
        <f aca="false">(AB33 + AC33 + AD33 +AE33 + AF33)/5</f>
        <v>0</v>
      </c>
      <c r="H33" s="1" t="n">
        <v>1</v>
      </c>
      <c r="I33" s="1" t="n">
        <v>1</v>
      </c>
      <c r="J33" s="1" t="n">
        <v>0</v>
      </c>
      <c r="K33" s="1" t="n">
        <v>0</v>
      </c>
      <c r="L33" s="1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</row>
    <row r="34" customFormat="false" ht="12.8" hidden="false" customHeight="false" outlineLevel="0" collapsed="false">
      <c r="A34" s="1" t="n">
        <v>1994583</v>
      </c>
      <c r="B34" s="1" t="n">
        <f aca="false">(15*C34 + 25*D34 + 15*E34 + 25*F34 + 20*G34)</f>
        <v>81</v>
      </c>
      <c r="C34" s="2" t="n">
        <f aca="false">(H34 + I34 + J34 +K34 + L34)/5</f>
        <v>0.4</v>
      </c>
      <c r="D34" s="2" t="n">
        <f aca="false">(M34 + N34 + O34 +P34 + Q34)/5</f>
        <v>1</v>
      </c>
      <c r="E34" s="2" t="n">
        <f aca="false">(R34 + S34 + T34 +U34 + V34)/5</f>
        <v>1</v>
      </c>
      <c r="F34" s="2" t="n">
        <f aca="false">(W34 + X34 + Y34 +Z34 + AA34)/5</f>
        <v>0.6</v>
      </c>
      <c r="G34" s="2" t="n">
        <f aca="false">(AB34 + AC34 + AD34 +AE34 + AF34)/5</f>
        <v>1</v>
      </c>
      <c r="H34" s="1" t="n">
        <v>1</v>
      </c>
      <c r="I34" s="1" t="n">
        <v>1</v>
      </c>
      <c r="J34" s="1" t="n">
        <v>0</v>
      </c>
      <c r="K34" s="1" t="n">
        <v>0</v>
      </c>
      <c r="L34" s="1" t="n">
        <v>0</v>
      </c>
      <c r="M34" s="13" t="n">
        <v>1</v>
      </c>
      <c r="N34" s="13" t="n">
        <v>1</v>
      </c>
      <c r="O34" s="13" t="n">
        <v>1</v>
      </c>
      <c r="P34" s="13" t="n">
        <v>1</v>
      </c>
      <c r="Q34" s="13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  <c r="W34" s="4" t="n">
        <v>1</v>
      </c>
      <c r="X34" s="4" t="n">
        <v>1</v>
      </c>
      <c r="Y34" s="4" t="n">
        <v>1</v>
      </c>
      <c r="Z34" s="4" t="n">
        <v>0</v>
      </c>
      <c r="AA34" s="4" t="n">
        <v>0</v>
      </c>
      <c r="AB34" s="3" t="n">
        <v>1</v>
      </c>
      <c r="AC34" s="3" t="n">
        <v>1</v>
      </c>
      <c r="AD34" s="3" t="n">
        <v>1</v>
      </c>
      <c r="AE34" s="3" t="n">
        <v>1</v>
      </c>
      <c r="AF34" s="3" t="n">
        <v>1</v>
      </c>
    </row>
    <row r="35" customFormat="false" ht="12.8" hidden="false" customHeight="false" outlineLevel="0" collapsed="false">
      <c r="A35" s="1" t="n">
        <v>2025557</v>
      </c>
      <c r="B35" s="1" t="n">
        <f aca="false">(15*C35 + 25*D35 + 15*E35 + 25*F35 + 20*G35)</f>
        <v>76</v>
      </c>
      <c r="C35" s="2" t="n">
        <f aca="false">(H35 + I35 + J35 +K35 + L35)/5</f>
        <v>0.4</v>
      </c>
      <c r="D35" s="2" t="n">
        <f aca="false">(M35 + N35 + O35 +P35 + Q35)/5</f>
        <v>0.8</v>
      </c>
      <c r="E35" s="2" t="n">
        <f aca="false">(R35 + S35 + T35 +U35 + V35)/5</f>
        <v>1</v>
      </c>
      <c r="F35" s="2" t="n">
        <f aca="false">(W35 + X35 + Y35 +Z35 + AA35)/5</f>
        <v>0.6</v>
      </c>
      <c r="G35" s="2" t="n">
        <f aca="false">(AB35 + AC35 + AD35 +AE35 + AF35)/5</f>
        <v>1</v>
      </c>
      <c r="H35" s="1" t="n">
        <v>1</v>
      </c>
      <c r="I35" s="1" t="n">
        <v>1</v>
      </c>
      <c r="J35" s="1" t="n">
        <v>0</v>
      </c>
      <c r="K35" s="1" t="n">
        <v>0</v>
      </c>
      <c r="L35" s="1" t="n">
        <v>0</v>
      </c>
      <c r="M35" s="13" t="n">
        <v>0</v>
      </c>
      <c r="N35" s="13" t="n">
        <v>1</v>
      </c>
      <c r="O35" s="13" t="n">
        <v>1</v>
      </c>
      <c r="P35" s="13" t="n">
        <v>1</v>
      </c>
      <c r="Q35" s="13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  <c r="W35" s="4" t="n">
        <v>1</v>
      </c>
      <c r="X35" s="4" t="n">
        <v>1</v>
      </c>
      <c r="Y35" s="4" t="n">
        <v>1</v>
      </c>
      <c r="Z35" s="4" t="n">
        <v>0</v>
      </c>
      <c r="AA35" s="4" t="n">
        <v>0</v>
      </c>
      <c r="AB35" s="3" t="n">
        <v>1</v>
      </c>
      <c r="AC35" s="3" t="n">
        <v>1</v>
      </c>
      <c r="AD35" s="3" t="n">
        <v>1</v>
      </c>
      <c r="AE35" s="3" t="n">
        <v>1</v>
      </c>
      <c r="AF35" s="3" t="n">
        <v>1</v>
      </c>
    </row>
    <row r="36" customFormat="false" ht="12.8" hidden="false" customHeight="false" outlineLevel="0" collapsed="false">
      <c r="A36" s="1" t="n">
        <v>2082332</v>
      </c>
      <c r="B36" s="1" t="n">
        <f aca="false">(15*C36 + 25*D36 + 15*E36 + 25*F36 + 20*G36)</f>
        <v>91</v>
      </c>
      <c r="C36" s="2" t="n">
        <f aca="false">(H36 + I36 + J36 +K36 + L36)/5</f>
        <v>0.4</v>
      </c>
      <c r="D36" s="2" t="n">
        <f aca="false">(M36 + N36 + O36 +P36 + Q36)/5</f>
        <v>1</v>
      </c>
      <c r="E36" s="2" t="n">
        <f aca="false">(R36 + S36 + T36 +U36 + V36)/5</f>
        <v>1</v>
      </c>
      <c r="F36" s="2" t="n">
        <f aca="false">(W36 + X36 + Y36 +Z36 + AA36)/5</f>
        <v>1</v>
      </c>
      <c r="G36" s="2" t="n">
        <f aca="false">(AB36 + AC36 + AD36 +AE36 + AF36)/5</f>
        <v>1</v>
      </c>
      <c r="H36" s="1" t="n">
        <v>1</v>
      </c>
      <c r="I36" s="1" t="n">
        <v>1</v>
      </c>
      <c r="J36" s="1" t="n">
        <v>0</v>
      </c>
      <c r="K36" s="1" t="n">
        <v>0</v>
      </c>
      <c r="L36" s="1" t="n">
        <v>0</v>
      </c>
      <c r="M36" s="13" t="n">
        <v>1</v>
      </c>
      <c r="N36" s="13" t="n">
        <v>1</v>
      </c>
      <c r="O36" s="13" t="n">
        <v>1</v>
      </c>
      <c r="P36" s="13" t="n">
        <v>1</v>
      </c>
      <c r="Q36" s="13" t="n">
        <v>1</v>
      </c>
      <c r="R36" s="1" t="n">
        <v>1</v>
      </c>
      <c r="S36" s="1" t="n">
        <v>1</v>
      </c>
      <c r="T36" s="1" t="n">
        <v>1</v>
      </c>
      <c r="U36" s="1" t="n">
        <v>1</v>
      </c>
      <c r="V36" s="1" t="n">
        <v>1</v>
      </c>
      <c r="W36" s="4" t="n">
        <v>1</v>
      </c>
      <c r="X36" s="4" t="n">
        <v>1</v>
      </c>
      <c r="Y36" s="4" t="n">
        <v>1</v>
      </c>
      <c r="Z36" s="4" t="n">
        <v>1</v>
      </c>
      <c r="AA36" s="4" t="n">
        <v>1</v>
      </c>
      <c r="AB36" s="3" t="n">
        <v>1</v>
      </c>
      <c r="AC36" s="3" t="n">
        <v>1</v>
      </c>
      <c r="AD36" s="3" t="n">
        <v>1</v>
      </c>
      <c r="AE36" s="3" t="n">
        <v>1</v>
      </c>
      <c r="AF36" s="3" t="n">
        <v>1</v>
      </c>
    </row>
    <row r="37" customFormat="false" ht="12.8" hidden="false" customHeight="false" outlineLevel="0" collapsed="false">
      <c r="A37" s="1" t="n">
        <v>1987495</v>
      </c>
      <c r="B37" s="1" t="n">
        <f aca="false">(15*C37 + 25*D37 + 15*E37 + 25*F37 + 20*G37)</f>
        <v>86</v>
      </c>
      <c r="C37" s="2" t="n">
        <f aca="false">(H37 + I37 + J37 +K37 + L37)/5</f>
        <v>0.4</v>
      </c>
      <c r="D37" s="2" t="n">
        <f aca="false">(M37 + N37 + O37 +P37 + Q37)/5</f>
        <v>0.8</v>
      </c>
      <c r="E37" s="2" t="n">
        <f aca="false">(R37 + S37 + T37 +U37 + V37)/5</f>
        <v>1</v>
      </c>
      <c r="F37" s="2" t="n">
        <f aca="false">(W37 + X37 + Y37 +Z37 + AA37)/5</f>
        <v>1</v>
      </c>
      <c r="G37" s="2" t="n">
        <f aca="false">(AB37 + AC37 + AD37 +AE37 + AF37)/5</f>
        <v>1</v>
      </c>
      <c r="H37" s="1" t="n">
        <v>1</v>
      </c>
      <c r="I37" s="1" t="n">
        <v>1</v>
      </c>
      <c r="J37" s="1" t="n">
        <v>0</v>
      </c>
      <c r="K37" s="1" t="n">
        <v>0</v>
      </c>
      <c r="L37" s="1" t="n">
        <v>0</v>
      </c>
      <c r="M37" s="13" t="n">
        <v>0</v>
      </c>
      <c r="N37" s="13" t="n">
        <v>1</v>
      </c>
      <c r="O37" s="13" t="n">
        <v>1</v>
      </c>
      <c r="P37" s="13" t="n">
        <v>1</v>
      </c>
      <c r="Q37" s="13" t="n">
        <v>1</v>
      </c>
      <c r="R37" s="1" t="n">
        <v>1</v>
      </c>
      <c r="S37" s="1" t="n">
        <v>1</v>
      </c>
      <c r="T37" s="1" t="n">
        <v>1</v>
      </c>
      <c r="U37" s="1" t="n">
        <v>1</v>
      </c>
      <c r="V37" s="1" t="n">
        <v>1</v>
      </c>
      <c r="W37" s="4" t="n">
        <v>1</v>
      </c>
      <c r="X37" s="4" t="n">
        <v>1</v>
      </c>
      <c r="Y37" s="4" t="n">
        <v>1</v>
      </c>
      <c r="Z37" s="4" t="n">
        <v>1</v>
      </c>
      <c r="AA37" s="4" t="n">
        <v>1</v>
      </c>
      <c r="AB37" s="3" t="n">
        <v>1</v>
      </c>
      <c r="AC37" s="3" t="n">
        <v>1</v>
      </c>
      <c r="AD37" s="3" t="n">
        <v>1</v>
      </c>
      <c r="AE37" s="3" t="n">
        <v>1</v>
      </c>
      <c r="AF37" s="3" t="n">
        <v>1</v>
      </c>
    </row>
    <row r="38" customFormat="false" ht="12.8" hidden="false" customHeight="false" outlineLevel="0" collapsed="false">
      <c r="A38" s="1" t="n">
        <v>2009650</v>
      </c>
      <c r="B38" s="1" t="n">
        <f aca="false">(15*C38 + 25*D38 + 15*E38 + 25*F38 + 20*G38)</f>
        <v>77</v>
      </c>
      <c r="C38" s="2" t="n">
        <f aca="false">(H38 + I38 + J38 +K38 + L38)/5</f>
        <v>0.4</v>
      </c>
      <c r="D38" s="2" t="n">
        <f aca="false">(M38 + N38 + O38 +P38 + Q38)/5</f>
        <v>1</v>
      </c>
      <c r="E38" s="2" t="n">
        <f aca="false">(R38 + S38 + T38 +U38 + V38)/5</f>
        <v>1</v>
      </c>
      <c r="F38" s="2" t="n">
        <f aca="false">(W38 + X38 + Y38 +Z38 + AA38)/5</f>
        <v>0.6</v>
      </c>
      <c r="G38" s="2" t="n">
        <f aca="false">(AB38 + AC38 + AD38 +AE38 + AF38)/5</f>
        <v>0.8</v>
      </c>
      <c r="H38" s="1" t="n">
        <v>1</v>
      </c>
      <c r="I38" s="1" t="n">
        <v>1</v>
      </c>
      <c r="J38" s="1" t="n">
        <v>0</v>
      </c>
      <c r="K38" s="1" t="n">
        <v>0</v>
      </c>
      <c r="L38" s="1" t="n">
        <v>0</v>
      </c>
      <c r="M38" s="13" t="n">
        <v>1</v>
      </c>
      <c r="N38" s="13" t="n">
        <v>1</v>
      </c>
      <c r="O38" s="13" t="n">
        <v>1</v>
      </c>
      <c r="P38" s="13" t="n">
        <v>1</v>
      </c>
      <c r="Q38" s="13" t="n">
        <v>1</v>
      </c>
      <c r="R38" s="1" t="n">
        <v>1</v>
      </c>
      <c r="S38" s="1" t="n">
        <v>1</v>
      </c>
      <c r="T38" s="1" t="n">
        <v>1</v>
      </c>
      <c r="U38" s="1" t="n">
        <v>1</v>
      </c>
      <c r="V38" s="1" t="n">
        <v>1</v>
      </c>
      <c r="W38" s="4" t="n">
        <v>1</v>
      </c>
      <c r="X38" s="4" t="n">
        <v>1</v>
      </c>
      <c r="Y38" s="4" t="n">
        <v>1</v>
      </c>
      <c r="Z38" s="4" t="n">
        <v>0</v>
      </c>
      <c r="AA38" s="4" t="n">
        <v>0</v>
      </c>
      <c r="AB38" s="3" t="n">
        <v>1</v>
      </c>
      <c r="AC38" s="3" t="n">
        <v>0</v>
      </c>
      <c r="AD38" s="3" t="n">
        <v>1</v>
      </c>
      <c r="AE38" s="3" t="n">
        <v>1</v>
      </c>
      <c r="AF38" s="3" t="n">
        <v>1</v>
      </c>
    </row>
    <row r="39" customFormat="false" ht="12.8" hidden="false" customHeight="false" outlineLevel="0" collapsed="false">
      <c r="A39" s="1" t="n">
        <v>2050553</v>
      </c>
      <c r="B39" s="1" t="n">
        <f aca="false">(15*C39 + 25*D39 + 15*E39 + 25*F39 + 20*G39)</f>
        <v>0</v>
      </c>
      <c r="C39" s="2" t="n">
        <f aca="false">(H39 + I39 + J39 +K39 + L39)/5</f>
        <v>0</v>
      </c>
      <c r="D39" s="2" t="n">
        <f aca="false">(M39 + N39 + O39 +P39 + Q39)/5</f>
        <v>0</v>
      </c>
      <c r="E39" s="2" t="n">
        <f aca="false">(R39 + S39 + T39 +U39 + V39)/5</f>
        <v>0</v>
      </c>
      <c r="F39" s="2" t="n">
        <f aca="false">(W39 + X39 + Y39 +Z39 + AA39)/5</f>
        <v>0</v>
      </c>
      <c r="G39" s="2" t="n">
        <f aca="false">(AB39 + AC39 + AD39 +AE39 + AF39)/5</f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</row>
    <row r="40" customFormat="false" ht="12.8" hidden="false" customHeight="false" outlineLevel="0" collapsed="false">
      <c r="A40" s="1" t="n">
        <v>1984794</v>
      </c>
      <c r="B40" s="1" t="n">
        <f aca="false">(15*C40 + 25*D40 + 15*E40 + 25*F40 + 20*G40)</f>
        <v>38</v>
      </c>
      <c r="C40" s="2" t="n">
        <f aca="false">(H40 + I40 + J40 +K40 + L40)/5</f>
        <v>0.4</v>
      </c>
      <c r="D40" s="2" t="n">
        <f aca="false">(M40 + N40 + O40 +P40 + Q40)/5</f>
        <v>0.6</v>
      </c>
      <c r="E40" s="2" t="n">
        <f aca="false">(R40 + S40 + T40 +U40 + V40)/5</f>
        <v>0.8</v>
      </c>
      <c r="F40" s="2" t="n">
        <f aca="false">(W40 + X40 + Y40 +Z40 + AA40)/5</f>
        <v>0.2</v>
      </c>
      <c r="G40" s="2" t="n">
        <f aca="false">(AB40 + AC40 + AD40 +AE40 + AF40)/5</f>
        <v>0</v>
      </c>
      <c r="H40" s="1" t="n">
        <v>1</v>
      </c>
      <c r="I40" s="1" t="n">
        <v>1</v>
      </c>
      <c r="J40" s="1" t="n">
        <v>0</v>
      </c>
      <c r="K40" s="1" t="n">
        <v>0</v>
      </c>
      <c r="L40" s="1" t="n">
        <v>0</v>
      </c>
      <c r="M40" s="13" t="n">
        <v>0</v>
      </c>
      <c r="N40" s="13" t="n">
        <v>1</v>
      </c>
      <c r="O40" s="13" t="n">
        <v>0</v>
      </c>
      <c r="P40" s="13" t="n">
        <v>1</v>
      </c>
      <c r="Q40" s="13" t="n">
        <v>1</v>
      </c>
      <c r="R40" s="1" t="n">
        <v>1</v>
      </c>
      <c r="S40" s="1" t="n">
        <v>0</v>
      </c>
      <c r="T40" s="1" t="n">
        <v>1</v>
      </c>
      <c r="U40" s="1" t="n">
        <v>1</v>
      </c>
      <c r="V40" s="1" t="n">
        <v>1</v>
      </c>
      <c r="W40" s="4" t="n">
        <v>0</v>
      </c>
      <c r="X40" s="4" t="n">
        <v>1</v>
      </c>
      <c r="Y40" s="4" t="n">
        <v>0</v>
      </c>
      <c r="Z40" s="4" t="n">
        <v>0</v>
      </c>
      <c r="AA40" s="4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</row>
    <row r="41" customFormat="false" ht="12.8" hidden="false" customHeight="false" outlineLevel="0" collapsed="false">
      <c r="A41" s="1" t="n">
        <v>2087359</v>
      </c>
      <c r="B41" s="1" t="n">
        <f aca="false">(15*C41 + 25*D41 + 15*E41 + 25*F41 + 20*G41)</f>
        <v>35.2</v>
      </c>
      <c r="C41" s="2" t="n">
        <f aca="false">(H41 + I41 + J41 +K41 + L41)/5</f>
        <v>0.28</v>
      </c>
      <c r="D41" s="2" t="n">
        <f aca="false">(M41 + N41 + O41 +P41 + Q41)/5</f>
        <v>1</v>
      </c>
      <c r="E41" s="2" t="n">
        <f aca="false">(R41 + S41 + T41 +U41 + V41)/5</f>
        <v>0.4</v>
      </c>
      <c r="F41" s="2" t="n">
        <f aca="false">(W41 + X41 + Y41 +Z41 + AA41)/5</f>
        <v>0</v>
      </c>
      <c r="G41" s="2" t="n">
        <f aca="false">(AB41 + AC41 + AD41 +AE41 + AF41)/5</f>
        <v>0</v>
      </c>
      <c r="H41" s="1" t="n">
        <v>0.7</v>
      </c>
      <c r="I41" s="1" t="n">
        <v>0.7</v>
      </c>
      <c r="J41" s="1" t="n">
        <v>0</v>
      </c>
      <c r="K41" s="1" t="n">
        <v>0</v>
      </c>
      <c r="L41" s="1" t="n">
        <v>0</v>
      </c>
      <c r="M41" s="13" t="n">
        <v>1</v>
      </c>
      <c r="N41" s="13" t="n">
        <v>1</v>
      </c>
      <c r="O41" s="13" t="n">
        <v>1</v>
      </c>
      <c r="P41" s="13" t="n">
        <v>1</v>
      </c>
      <c r="Q41" s="13" t="n">
        <v>1</v>
      </c>
      <c r="R41" s="1" t="n">
        <v>0</v>
      </c>
      <c r="S41" s="1" t="n">
        <v>1</v>
      </c>
      <c r="T41" s="1" t="n">
        <v>0</v>
      </c>
      <c r="U41" s="1" t="n">
        <v>1</v>
      </c>
      <c r="V41" s="1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</row>
    <row r="42" customFormat="false" ht="12.8" hidden="false" customHeight="false" outlineLevel="0" collapsed="false">
      <c r="A42" s="1" t="n">
        <v>2068434</v>
      </c>
      <c r="B42" s="1" t="n">
        <f aca="false">(15*C42 + 25*D42 + 15*E42 + 25*F42 + 20*G42)</f>
        <v>73</v>
      </c>
      <c r="C42" s="2" t="n">
        <f aca="false">(H42 + I42 + J42 +K42 + L42)/5</f>
        <v>0.4</v>
      </c>
      <c r="D42" s="2" t="n">
        <f aca="false">(M42 + N42 + O42 +P42 + Q42)/5</f>
        <v>0.8</v>
      </c>
      <c r="E42" s="2" t="n">
        <f aca="false">(R42 + S42 + T42 +U42 + V42)/5</f>
        <v>0.8</v>
      </c>
      <c r="F42" s="2" t="n">
        <f aca="false">(W42 + X42 + Y42 +Z42 + AA42)/5</f>
        <v>0.6</v>
      </c>
      <c r="G42" s="2" t="n">
        <f aca="false">(AB42 + AC42 + AD42 +AE42 + AF42)/5</f>
        <v>1</v>
      </c>
      <c r="H42" s="1" t="n">
        <v>1</v>
      </c>
      <c r="I42" s="1" t="n">
        <v>1</v>
      </c>
      <c r="J42" s="1" t="n">
        <v>0</v>
      </c>
      <c r="K42" s="1" t="n">
        <v>0</v>
      </c>
      <c r="L42" s="1" t="n">
        <v>0</v>
      </c>
      <c r="M42" s="13" t="n">
        <v>1</v>
      </c>
      <c r="N42" s="13" t="n">
        <v>0</v>
      </c>
      <c r="O42" s="13" t="n">
        <v>1</v>
      </c>
      <c r="P42" s="13" t="n">
        <v>1</v>
      </c>
      <c r="Q42" s="13" t="n">
        <v>1</v>
      </c>
      <c r="R42" s="1" t="n">
        <v>1</v>
      </c>
      <c r="S42" s="1" t="n">
        <v>0</v>
      </c>
      <c r="T42" s="1" t="n">
        <v>1</v>
      </c>
      <c r="U42" s="1" t="n">
        <v>1</v>
      </c>
      <c r="V42" s="1" t="n">
        <v>1</v>
      </c>
      <c r="W42" s="4" t="n">
        <v>1</v>
      </c>
      <c r="X42" s="4" t="n">
        <v>1</v>
      </c>
      <c r="Y42" s="4" t="n">
        <v>1</v>
      </c>
      <c r="Z42" s="4" t="n">
        <v>0</v>
      </c>
      <c r="AA42" s="4" t="n">
        <v>0</v>
      </c>
      <c r="AB42" s="3" t="n">
        <v>1</v>
      </c>
      <c r="AC42" s="3" t="n">
        <v>1</v>
      </c>
      <c r="AD42" s="3" t="n">
        <v>1</v>
      </c>
      <c r="AE42" s="3" t="n">
        <v>1</v>
      </c>
      <c r="AF42" s="3" t="n">
        <v>1</v>
      </c>
    </row>
    <row r="43" customFormat="false" ht="12.8" hidden="false" customHeight="false" outlineLevel="0" collapsed="false">
      <c r="A43" s="1" t="n">
        <v>1992615</v>
      </c>
      <c r="B43" s="1" t="n">
        <f aca="false">(15*C43 + 25*D43 + 15*E43 + 25*F43 + 20*G43)</f>
        <v>57.2</v>
      </c>
      <c r="C43" s="2" t="n">
        <f aca="false">(H43 + I43 + J43 +K43 + L43)/5</f>
        <v>0.28</v>
      </c>
      <c r="D43" s="2" t="n">
        <f aca="false">(M43 + N43 + O43 +P43 + Q43)/5</f>
        <v>0.8</v>
      </c>
      <c r="E43" s="2" t="n">
        <f aca="false">(R43 + S43 + T43 +U43 + V43)/5</f>
        <v>0.2</v>
      </c>
      <c r="F43" s="2" t="n">
        <f aca="false">(W43 + X43 + Y43 +Z43 + AA43)/5</f>
        <v>0.4</v>
      </c>
      <c r="G43" s="2" t="n">
        <f aca="false">(AB43 + AC43 + AD43 +AE43 + AF43)/5</f>
        <v>1</v>
      </c>
      <c r="H43" s="1" t="n">
        <v>0.7</v>
      </c>
      <c r="I43" s="1" t="n">
        <v>0.7</v>
      </c>
      <c r="J43" s="1" t="n">
        <v>0</v>
      </c>
      <c r="K43" s="1" t="n">
        <v>0</v>
      </c>
      <c r="L43" s="1" t="n">
        <v>0</v>
      </c>
      <c r="M43" s="13" t="n">
        <v>1</v>
      </c>
      <c r="N43" s="13" t="n">
        <v>1</v>
      </c>
      <c r="O43" s="13" t="n">
        <v>0</v>
      </c>
      <c r="P43" s="13" t="n">
        <v>1</v>
      </c>
      <c r="Q43" s="13" t="n">
        <v>1</v>
      </c>
      <c r="R43" s="1" t="n">
        <v>0</v>
      </c>
      <c r="S43" s="1" t="n">
        <v>0</v>
      </c>
      <c r="T43" s="1" t="n">
        <v>0</v>
      </c>
      <c r="U43" s="1" t="n">
        <v>1</v>
      </c>
      <c r="V43" s="1" t="n">
        <v>0</v>
      </c>
      <c r="W43" s="4" t="n">
        <v>1</v>
      </c>
      <c r="X43" s="4" t="n">
        <v>0</v>
      </c>
      <c r="Y43" s="4" t="n">
        <v>1</v>
      </c>
      <c r="Z43" s="4" t="n">
        <v>0</v>
      </c>
      <c r="AA43" s="4" t="n">
        <v>0</v>
      </c>
      <c r="AB43" s="3" t="n">
        <v>1</v>
      </c>
      <c r="AC43" s="3" t="n">
        <v>1</v>
      </c>
      <c r="AD43" s="3" t="n">
        <v>1</v>
      </c>
      <c r="AE43" s="3" t="n">
        <v>1</v>
      </c>
      <c r="AF43" s="3" t="n">
        <v>1</v>
      </c>
    </row>
    <row r="44" customFormat="false" ht="12.8" hidden="false" customHeight="false" outlineLevel="0" collapsed="false">
      <c r="A44" s="1" t="n">
        <v>2054343</v>
      </c>
      <c r="B44" s="1" t="n">
        <f aca="false">(15*C44 + 25*D44 + 15*E44 + 25*F44 + 20*G44)</f>
        <v>66</v>
      </c>
      <c r="C44" s="2" t="n">
        <f aca="false">(H44 + I44 + J44 +K44 + L44)/5</f>
        <v>0.4</v>
      </c>
      <c r="D44" s="2" t="n">
        <f aca="false">(M44 + N44 + O44 +P44 + Q44)/5</f>
        <v>1</v>
      </c>
      <c r="E44" s="2" t="n">
        <f aca="false">(R44 + S44 + T44 +U44 + V44)/5</f>
        <v>0.8</v>
      </c>
      <c r="F44" s="2" t="n">
        <f aca="false">(W44 + X44 + Y44 +Z44 + AA44)/5</f>
        <v>0.6</v>
      </c>
      <c r="G44" s="2" t="n">
        <f aca="false">(AB44 + AC44 + AD44 +AE44 + AF44)/5</f>
        <v>0.4</v>
      </c>
      <c r="H44" s="1" t="n">
        <v>1</v>
      </c>
      <c r="I44" s="1" t="n">
        <v>1</v>
      </c>
      <c r="J44" s="1" t="n">
        <v>0</v>
      </c>
      <c r="K44" s="1" t="n">
        <v>0</v>
      </c>
      <c r="L44" s="1" t="n">
        <v>0</v>
      </c>
      <c r="M44" s="13" t="n">
        <v>1</v>
      </c>
      <c r="N44" s="13" t="n">
        <v>1</v>
      </c>
      <c r="O44" s="13" t="n">
        <v>1</v>
      </c>
      <c r="P44" s="13" t="n">
        <v>1</v>
      </c>
      <c r="Q44" s="13" t="n">
        <v>1</v>
      </c>
      <c r="R44" s="1" t="n">
        <v>1</v>
      </c>
      <c r="S44" s="1" t="n">
        <v>0</v>
      </c>
      <c r="T44" s="1" t="n">
        <v>1</v>
      </c>
      <c r="U44" s="1" t="n">
        <v>1</v>
      </c>
      <c r="V44" s="1" t="n">
        <v>1</v>
      </c>
      <c r="W44" s="4" t="n">
        <v>1</v>
      </c>
      <c r="X44" s="4" t="n">
        <v>1</v>
      </c>
      <c r="Y44" s="4" t="n">
        <v>1</v>
      </c>
      <c r="Z44" s="4" t="n">
        <v>0</v>
      </c>
      <c r="AA44" s="4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1</v>
      </c>
    </row>
    <row r="45" customFormat="false" ht="12.8" hidden="false" customHeight="false" outlineLevel="0" collapsed="false">
      <c r="A45" s="1" t="n">
        <v>2014782</v>
      </c>
      <c r="B45" s="1" t="n">
        <f aca="false">(15*C45 + 25*D45 + 15*E45 + 25*F45 + 20*G45)</f>
        <v>70</v>
      </c>
      <c r="C45" s="2" t="n">
        <f aca="false">(H45 + I45 + J45 +K45 + L45)/5</f>
        <v>0.4</v>
      </c>
      <c r="D45" s="2" t="n">
        <f aca="false">(M45 + N45 + O45 +P45 + Q45)/5</f>
        <v>0.8</v>
      </c>
      <c r="E45" s="2" t="n">
        <f aca="false">(R45 + S45 + T45 +U45 + V45)/5</f>
        <v>0.6</v>
      </c>
      <c r="F45" s="2" t="n">
        <f aca="false">(W45 + X45 + Y45 +Z45 + AA45)/5</f>
        <v>0.6</v>
      </c>
      <c r="G45" s="2" t="n">
        <f aca="false">(AB45 + AC45 + AD45 +AE45 + AF45)/5</f>
        <v>1</v>
      </c>
      <c r="H45" s="1" t="n">
        <v>1</v>
      </c>
      <c r="I45" s="1" t="n">
        <v>1</v>
      </c>
      <c r="J45" s="1" t="n">
        <v>0</v>
      </c>
      <c r="K45" s="1" t="n">
        <v>0</v>
      </c>
      <c r="L45" s="1" t="n">
        <v>0</v>
      </c>
      <c r="M45" s="13" t="n">
        <v>1</v>
      </c>
      <c r="N45" s="13" t="n">
        <v>0</v>
      </c>
      <c r="O45" s="13" t="n">
        <v>1</v>
      </c>
      <c r="P45" s="13" t="n">
        <v>1</v>
      </c>
      <c r="Q45" s="13" t="n">
        <v>1</v>
      </c>
      <c r="R45" s="1" t="n">
        <v>1</v>
      </c>
      <c r="S45" s="1" t="n">
        <v>0</v>
      </c>
      <c r="T45" s="1" t="n">
        <v>0</v>
      </c>
      <c r="U45" s="1" t="n">
        <v>1</v>
      </c>
      <c r="V45" s="1" t="n">
        <v>1</v>
      </c>
      <c r="W45" s="4" t="n">
        <v>1</v>
      </c>
      <c r="X45" s="4" t="n">
        <v>1</v>
      </c>
      <c r="Y45" s="4" t="n">
        <v>1</v>
      </c>
      <c r="Z45" s="4" t="n">
        <v>0</v>
      </c>
      <c r="AA45" s="4" t="n">
        <v>0</v>
      </c>
      <c r="AB45" s="3" t="n">
        <v>1</v>
      </c>
      <c r="AC45" s="3" t="n">
        <v>1</v>
      </c>
      <c r="AD45" s="3" t="n">
        <v>1</v>
      </c>
      <c r="AE45" s="3" t="n">
        <v>1</v>
      </c>
      <c r="AF45" s="3" t="n">
        <v>1</v>
      </c>
    </row>
    <row r="46" s="13" customFormat="true" ht="12.8" hidden="false" customHeight="false" outlineLevel="0" collapsed="false">
      <c r="A46" s="13" t="n">
        <v>2034930</v>
      </c>
      <c r="B46" s="1" t="n">
        <f aca="false">(15*C46 + 25*D46 + 15*E46 + 25*F46 + 20*G46)</f>
        <v>32.2</v>
      </c>
      <c r="C46" s="4" t="n">
        <f aca="false">(H46 + I46 + J46 +K46 + L46)/5</f>
        <v>0.28</v>
      </c>
      <c r="D46" s="4" t="n">
        <f aca="false">(M46 + N46 + O46 +P46 + Q46)/5</f>
        <v>1</v>
      </c>
      <c r="E46" s="4" t="n">
        <f aca="false">(R46 + S46 + T46 +U46 + V46)/5</f>
        <v>0.2</v>
      </c>
      <c r="F46" s="4" t="n">
        <f aca="false">(W46 + X46 + Y46 +Z46 + AA46)/5</f>
        <v>0</v>
      </c>
      <c r="G46" s="4" t="n">
        <f aca="false">(AB46 + AC46 + AD46 +AE46 + AF46)/5</f>
        <v>0</v>
      </c>
      <c r="H46" s="13" t="n">
        <v>0.7</v>
      </c>
      <c r="I46" s="13" t="n">
        <v>0.7</v>
      </c>
      <c r="J46" s="13" t="n">
        <v>0</v>
      </c>
      <c r="K46" s="13" t="n">
        <v>0</v>
      </c>
      <c r="L46" s="13" t="n">
        <v>0</v>
      </c>
      <c r="M46" s="13" t="n">
        <v>1</v>
      </c>
      <c r="N46" s="13" t="n">
        <v>1</v>
      </c>
      <c r="O46" s="13" t="n">
        <v>1</v>
      </c>
      <c r="P46" s="13" t="n">
        <v>1</v>
      </c>
      <c r="Q46" s="13" t="n">
        <v>1</v>
      </c>
      <c r="R46" s="1" t="n">
        <v>0</v>
      </c>
      <c r="S46" s="1" t="n">
        <v>0</v>
      </c>
      <c r="T46" s="1" t="n">
        <v>0</v>
      </c>
      <c r="U46" s="1" t="n">
        <v>1</v>
      </c>
      <c r="V46" s="1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MJ46" s="0"/>
    </row>
    <row r="47" customFormat="false" ht="12.8" hidden="false" customHeight="false" outlineLevel="0" collapsed="false">
      <c r="A47" s="1" t="n">
        <v>2021689</v>
      </c>
      <c r="B47" s="1" t="n">
        <f aca="false">(15*C47 + 25*D47 + 15*E47 + 25*F47 + 20*G47)</f>
        <v>43</v>
      </c>
      <c r="C47" s="2" t="n">
        <f aca="false">(H47 + I47 + J47 +K47 + L47)/5</f>
        <v>0.4</v>
      </c>
      <c r="D47" s="2" t="n">
        <f aca="false">(M47 + N47 + O47 +P47 + Q47)/5</f>
        <v>1</v>
      </c>
      <c r="E47" s="2" t="n">
        <f aca="false">(R47 + S47 + T47 +U47 + V47)/5</f>
        <v>0.8</v>
      </c>
      <c r="F47" s="2" t="n">
        <f aca="false">(W47 + X47 + Y47 +Z47 + AA47)/5</f>
        <v>0</v>
      </c>
      <c r="G47" s="2" t="n">
        <f aca="false">(AB47 + AC47 + AD47 +AE47 + AF47)/5</f>
        <v>0</v>
      </c>
      <c r="H47" s="1" t="n">
        <v>1</v>
      </c>
      <c r="I47" s="1" t="n">
        <v>1</v>
      </c>
      <c r="J47" s="1" t="n">
        <v>0</v>
      </c>
      <c r="K47" s="1" t="n">
        <v>0</v>
      </c>
      <c r="L47" s="1" t="n">
        <v>0</v>
      </c>
      <c r="M47" s="13" t="n">
        <v>1</v>
      </c>
      <c r="N47" s="13" t="n">
        <v>1</v>
      </c>
      <c r="O47" s="13" t="n">
        <v>1</v>
      </c>
      <c r="P47" s="13" t="n">
        <v>1</v>
      </c>
      <c r="Q47" s="13" t="n">
        <v>1</v>
      </c>
      <c r="R47" s="1" t="n">
        <v>1</v>
      </c>
      <c r="S47" s="1" t="n">
        <v>0</v>
      </c>
      <c r="T47" s="1" t="n">
        <v>1</v>
      </c>
      <c r="U47" s="1" t="n">
        <v>1</v>
      </c>
      <c r="V47" s="1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</row>
    <row r="48" customFormat="false" ht="12.8" hidden="false" customHeight="false" outlineLevel="0" collapsed="false">
      <c r="A48" s="1" t="n">
        <v>1960045</v>
      </c>
      <c r="B48" s="1" t="n">
        <f aca="false">(15*C48 + 25*D48 + 15*E48 + 25*F48 + 20*G48)</f>
        <v>83</v>
      </c>
      <c r="C48" s="2" t="n">
        <f aca="false">(H48 + I48 + J48 +K48 + L48)/5</f>
        <v>0.4</v>
      </c>
      <c r="D48" s="2" t="n">
        <f aca="false">(M48 + N48 + O48 +P48 + Q48)/5</f>
        <v>1</v>
      </c>
      <c r="E48" s="2" t="n">
        <f aca="false">(R48 + S48 + T48 +U48 + V48)/5</f>
        <v>1</v>
      </c>
      <c r="F48" s="2" t="n">
        <f aca="false">(W48 + X48 + Y48 +Z48 + AA48)/5</f>
        <v>1</v>
      </c>
      <c r="G48" s="2" t="n">
        <f aca="false">(AB48 + AC48 + AD48 +AE48 + AF48)/5</f>
        <v>0.6</v>
      </c>
      <c r="H48" s="1" t="n">
        <v>1</v>
      </c>
      <c r="I48" s="1" t="n">
        <v>1</v>
      </c>
      <c r="J48" s="1" t="n">
        <v>0</v>
      </c>
      <c r="K48" s="1" t="n">
        <v>0</v>
      </c>
      <c r="L48" s="1" t="n">
        <v>0</v>
      </c>
      <c r="M48" s="13" t="n">
        <v>1</v>
      </c>
      <c r="N48" s="13" t="n">
        <v>1</v>
      </c>
      <c r="O48" s="13" t="n">
        <v>1</v>
      </c>
      <c r="P48" s="13" t="n">
        <v>1</v>
      </c>
      <c r="Q48" s="13" t="n">
        <v>1</v>
      </c>
      <c r="R48" s="1" t="n">
        <v>1</v>
      </c>
      <c r="S48" s="1" t="n">
        <v>1</v>
      </c>
      <c r="T48" s="1" t="n">
        <v>1</v>
      </c>
      <c r="U48" s="1" t="n">
        <v>1</v>
      </c>
      <c r="V48" s="1" t="n">
        <v>1</v>
      </c>
      <c r="W48" s="4" t="n">
        <v>1</v>
      </c>
      <c r="X48" s="4" t="n">
        <v>1</v>
      </c>
      <c r="Y48" s="4" t="n">
        <v>1</v>
      </c>
      <c r="Z48" s="4" t="n">
        <v>1</v>
      </c>
      <c r="AA48" s="4" t="n">
        <v>1</v>
      </c>
      <c r="AB48" s="3" t="n">
        <v>1</v>
      </c>
      <c r="AC48" s="3" t="n">
        <v>1</v>
      </c>
      <c r="AD48" s="3" t="n">
        <v>0</v>
      </c>
      <c r="AE48" s="3" t="n">
        <v>0</v>
      </c>
      <c r="AF48" s="3" t="n">
        <v>1</v>
      </c>
    </row>
    <row r="49" customFormat="false" ht="12.8" hidden="false" customHeight="false" outlineLevel="0" collapsed="false">
      <c r="A49" s="1" t="n">
        <v>2046790</v>
      </c>
      <c r="B49" s="1" t="n">
        <f aca="false">(15*C49 + 25*D49 + 15*E49 + 25*F49 + 20*G49)</f>
        <v>0</v>
      </c>
      <c r="C49" s="2" t="n">
        <f aca="false">(H49 + I49 + J49 +K49 + L49)/5</f>
        <v>0</v>
      </c>
      <c r="D49" s="2" t="n">
        <f aca="false">(M49 + N49 + O49 +P49 + Q49)/5</f>
        <v>0</v>
      </c>
      <c r="E49" s="2" t="n">
        <f aca="false">(R49 + S49 + T49 +U49 + V49)/5</f>
        <v>0</v>
      </c>
      <c r="F49" s="2" t="n">
        <f aca="false">(W49 + X49 + Y49 +Z49 + AA49)/5</f>
        <v>0</v>
      </c>
      <c r="G49" s="2" t="n">
        <f aca="false">(AB49 + AC49 + AD49 +AE49 + AF49)/5</f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</row>
    <row r="50" customFormat="false" ht="12.8" hidden="false" customHeight="false" outlineLevel="0" collapsed="false">
      <c r="A50" s="1" t="n">
        <v>2064472</v>
      </c>
      <c r="B50" s="1" t="n">
        <f aca="false">(15*C50 + 25*D50 + 15*E50 + 25*F50 + 20*G50)</f>
        <v>56</v>
      </c>
      <c r="C50" s="2" t="n">
        <f aca="false">(H50 + I50 + J50 +K50 + L50)/5</f>
        <v>0</v>
      </c>
      <c r="D50" s="2" t="n">
        <f aca="false">(M50 + N50 + O50 +P50 + Q50)/5</f>
        <v>1</v>
      </c>
      <c r="E50" s="2" t="n">
        <f aca="false">(R50 + S50 + T50 +U50 + V50)/5</f>
        <v>0</v>
      </c>
      <c r="F50" s="2" t="n">
        <f aca="false">(W50 + X50 + Y50 +Z50 + AA50)/5</f>
        <v>0.6</v>
      </c>
      <c r="G50" s="2" t="n">
        <f aca="false">(AB50 + AC50 + AD50 +AE50 + AF50)/5</f>
        <v>0.8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3" t="n">
        <v>1</v>
      </c>
      <c r="N50" s="13" t="n">
        <v>1</v>
      </c>
      <c r="O50" s="13" t="n">
        <v>1</v>
      </c>
      <c r="P50" s="13" t="n">
        <v>1</v>
      </c>
      <c r="Q50" s="13" t="n">
        <v>1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4" t="n">
        <v>1</v>
      </c>
      <c r="X50" s="4" t="n">
        <v>1</v>
      </c>
      <c r="Y50" s="4" t="n">
        <v>1</v>
      </c>
      <c r="Z50" s="4" t="n">
        <v>0</v>
      </c>
      <c r="AA50" s="4" t="n">
        <v>0</v>
      </c>
      <c r="AB50" s="3" t="n">
        <v>1</v>
      </c>
      <c r="AC50" s="3" t="n">
        <v>1</v>
      </c>
      <c r="AD50" s="3" t="n">
        <v>1</v>
      </c>
      <c r="AE50" s="3" t="n">
        <v>0</v>
      </c>
      <c r="AF50" s="3" t="n">
        <v>1</v>
      </c>
    </row>
    <row r="51" customFormat="false" ht="12.8" hidden="false" customHeight="false" outlineLevel="0" collapsed="false">
      <c r="A51" s="14"/>
    </row>
    <row r="52" customFormat="false" ht="12.8" hidden="false" customHeight="false" outlineLevel="0" collapsed="false">
      <c r="A52" s="14"/>
    </row>
  </sheetData>
  <mergeCells count="6">
    <mergeCell ref="C1:G1"/>
    <mergeCell ref="H1:L1"/>
    <mergeCell ref="M1:Q1"/>
    <mergeCell ref="R1:V1"/>
    <mergeCell ref="W1:AA1"/>
    <mergeCell ref="AB1:A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false" showOutlineSymbols="true" defaultGridColor="true" view="normal" topLeftCell="A58" colorId="64" zoomScale="150" zoomScaleNormal="150" zoomScalePageLayoutView="100" workbookViewId="0">
      <selection pane="topLeft" activeCell="C69" activeCellId="0" sqref="C69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5" t="s">
        <v>7</v>
      </c>
      <c r="B1" s="5" t="s">
        <v>8</v>
      </c>
      <c r="C1" s="5"/>
      <c r="D1" s="5"/>
      <c r="E1" s="5"/>
      <c r="F1" s="5"/>
      <c r="G1" s="1" t="s">
        <v>9</v>
      </c>
    </row>
    <row r="2" customFormat="false" ht="12.8" hidden="false" customHeight="false" outlineLevel="0" collapsed="false">
      <c r="A2" s="1" t="n">
        <f aca="false">(Sheet1!B6)</f>
        <v>0</v>
      </c>
      <c r="B2" s="1" t="n">
        <f aca="false">(1/$G$2)</f>
        <v>0.0169491525423729</v>
      </c>
      <c r="C2" s="1" t="n">
        <f aca="false">SUM($B2:$B$60)</f>
        <v>1</v>
      </c>
      <c r="D2" s="1" t="n">
        <v>31</v>
      </c>
      <c r="E2" s="1" t="n">
        <f aca="false">_xlfn.IFS(C2 &gt; 0.95, 31, C2 &gt; 0.9, 30, C2 &gt; 0.85,  29, C2 &gt; 0.8, 27, C2 &gt; 0.75, 26, C2 &gt; 0.7, 25, C2 &gt; 0.65, 24, C2 &gt; 0.6 , 23, C2 &gt; 0.55 , 22, C2 &gt; 0.5, 21, C2 &gt; 0.45, 20, C2 &gt; 0.4, 19, C2 &gt; 0.35, 18, C2 &lt;= 0.35, 0 )</f>
        <v>31</v>
      </c>
      <c r="F2" s="1"/>
      <c r="G2" s="1" t="n">
        <v>59</v>
      </c>
    </row>
    <row r="3" customFormat="false" ht="12.8" hidden="false" customHeight="false" outlineLevel="0" collapsed="false">
      <c r="A3" s="1" t="e">
        <f aca="false">(#REF!)</f>
        <v>#REF!</v>
      </c>
      <c r="B3" s="1" t="n">
        <f aca="false">(2/$G$2)</f>
        <v>0.0338983050847458</v>
      </c>
      <c r="C3" s="1" t="n">
        <f aca="false">SUM($B3:$B$60)</f>
        <v>0.983050847457627</v>
      </c>
      <c r="D3" s="1" t="n">
        <v>31</v>
      </c>
      <c r="E3" s="1" t="n">
        <f aca="false">_xlfn.IFS(C3 &gt; 0.95, 31, C3 &gt; 0.9, 30, C3 &gt; 0.85,  29, C3 &gt; 0.8, 27, C3 &gt; 0.75, 26, C3 &gt; 0.7, 25, C3 &gt; 0.65, 24, C3 &gt; 0.6 , 23, C3 &gt; 0.55 , 22, C3 &gt; 0.5, 21, C3 &gt; 0.45, 20, C3 &gt; 0.4, 19, C3 &gt; 0.35, 18, C3 &lt;= 0.35, 0 )</f>
        <v>31</v>
      </c>
    </row>
    <row r="4" customFormat="false" ht="12.8" hidden="false" customHeight="false" outlineLevel="0" collapsed="false">
      <c r="A4" s="1" t="e">
        <f aca="false">(#REF!)</f>
        <v>#REF!</v>
      </c>
      <c r="B4" s="1"/>
      <c r="C4" s="1"/>
      <c r="E4" s="1" t="n">
        <f aca="false">_xlfn.IFS(C4 &gt; 0.95, 31, C4 &gt; 0.9, 30, C4 &gt; 0.85,  29, C4 &gt; 0.8, 27, C4 &gt; 0.75, 26, C4 &gt; 0.7, 25, C4 &gt; 0.65, 24, C4 &gt; 0.6 , 23, C4 &gt; 0.55 , 22, C4 &gt; 0.5, 21, C4 &gt; 0.45, 20, C4 &gt; 0.4, 19, C4 &gt; 0.35, 18, C4 &lt;= 0.35, 0 )</f>
        <v>0</v>
      </c>
    </row>
    <row r="5" customFormat="false" ht="12.8" hidden="false" customHeight="false" outlineLevel="0" collapsed="false">
      <c r="A5" s="1" t="n">
        <f aca="false">(Sheet1!B46)</f>
        <v>32.2</v>
      </c>
      <c r="B5" s="1" t="n">
        <f aca="false">(1/$G$2)</f>
        <v>0.0169491525423729</v>
      </c>
      <c r="C5" s="1" t="n">
        <f aca="false">SUM($B5:$B$60)</f>
        <v>0.949152542372881</v>
      </c>
      <c r="D5" s="1" t="n">
        <v>30</v>
      </c>
      <c r="E5" s="1" t="n">
        <f aca="false">_xlfn.IFS(C5 &gt; 0.95, 31, C5 &gt; 0.9, 30, C5 &gt; 0.85,  29, C5 &gt; 0.8, 27, C5 &gt; 0.75, 26, C5 &gt; 0.7, 25, C5 &gt; 0.65, 24, C5 &gt; 0.6 , 23, C5 &gt; 0.55 , 22, C5 &gt; 0.5, 21, C5 &gt; 0.45, 20, C5 &gt; 0.4, 19, C5 &gt; 0.35, 18, C5 &lt;= 0.35, 0 )</f>
        <v>30</v>
      </c>
      <c r="F5" s="1"/>
    </row>
    <row r="6" customFormat="false" ht="12.8" hidden="false" customHeight="false" outlineLevel="0" collapsed="false">
      <c r="A6" s="1" t="n">
        <f aca="false">(Sheet1!B7)</f>
        <v>4.2</v>
      </c>
      <c r="B6" s="1" t="n">
        <f aca="false">(2/$G$2)</f>
        <v>0.0338983050847458</v>
      </c>
      <c r="C6" s="1" t="n">
        <f aca="false">SUM($B6:$B$60)</f>
        <v>0.932203389830509</v>
      </c>
      <c r="D6" s="1" t="n">
        <v>30</v>
      </c>
      <c r="E6" s="1" t="n">
        <f aca="false">_xlfn.IFS(C6 &gt; 0.95, 31, C6 &gt; 0.9, 30, C6 &gt; 0.85,  29, C6 &gt; 0.8, 27, C6 &gt; 0.75, 26, C6 &gt; 0.7, 25, C6 &gt; 0.65, 24, C6 &gt; 0.6 , 23, C6 &gt; 0.55 , 22, C6 &gt; 0.5, 21, C6 &gt; 0.45, 20, C6 &gt; 0.4, 19, C6 &gt; 0.35, 18, C6 &lt;= 0.35, 0 )</f>
        <v>30</v>
      </c>
      <c r="F6" s="1"/>
    </row>
    <row r="7" customFormat="false" ht="12.8" hidden="false" customHeight="false" outlineLevel="0" collapsed="false">
      <c r="A7" s="1" t="n">
        <f aca="false">(Sheet1!B16)</f>
        <v>76</v>
      </c>
      <c r="B7" s="1"/>
      <c r="C7" s="1"/>
      <c r="D7" s="1"/>
      <c r="E7" s="1" t="n">
        <f aca="false">_xlfn.IFS(C7 &gt; 0.95, 31, C7 &gt; 0.9, 30, C7 &gt; 0.85,  29, C7 &gt; 0.8, 27, C7 &gt; 0.75, 26, C7 &gt; 0.7, 25, C7 &gt; 0.65, 24, C7 &gt; 0.6 , 23, C7 &gt; 0.55 , 22, C7 &gt; 0.5, 21, C7 &gt; 0.45, 20, C7 &gt; 0.4, 19, C7 &gt; 0.35, 18, C7 &lt;= 0.35, 0 )</f>
        <v>0</v>
      </c>
      <c r="F7" s="1"/>
    </row>
    <row r="8" customFormat="false" ht="12.8" hidden="false" customHeight="false" outlineLevel="0" collapsed="false">
      <c r="A8" s="1" t="n">
        <f aca="false">(Sheet1!B20)</f>
        <v>57</v>
      </c>
      <c r="B8" s="1" t="n">
        <f aca="false">(2/$G$2)</f>
        <v>0.0338983050847458</v>
      </c>
      <c r="C8" s="1" t="n">
        <f aca="false">SUM($B8:$B$60)</f>
        <v>0.898305084745763</v>
      </c>
      <c r="D8" s="1" t="n">
        <v>29</v>
      </c>
      <c r="E8" s="1" t="n">
        <f aca="false">_xlfn.IFS(C8 &gt; 0.95, 31, C8 &gt; 0.9, 30, C8 &gt; 0.85,  29, C8 &gt; 0.8, 27, C8 &gt; 0.75, 26, C8 &gt; 0.7, 25, C8 &gt; 0.65, 24, C8 &gt; 0.6 , 23, C8 &gt; 0.55 , 22, C8 &gt; 0.5, 21, C8 &gt; 0.45, 20, C8 &gt; 0.4, 19, C8 &gt; 0.35, 18, C8 &lt;= 0.35, 0 )</f>
        <v>29</v>
      </c>
      <c r="F8" s="1"/>
    </row>
    <row r="9" customFormat="false" ht="12.8" hidden="false" customHeight="false" outlineLevel="0" collapsed="false">
      <c r="A9" s="1" t="e">
        <f aca="false">(#REF!)</f>
        <v>#REF!</v>
      </c>
      <c r="B9" s="1"/>
      <c r="C9" s="1"/>
      <c r="D9" s="1"/>
      <c r="E9" s="1" t="n">
        <f aca="false">_xlfn.IFS(C9 &gt; 0.95, 31, C9 &gt; 0.9, 30, C9 &gt; 0.85,  29, C9 &gt; 0.8, 27, C9 &gt; 0.75, 26, C9 &gt; 0.7, 25, C9 &gt; 0.65, 24, C9 &gt; 0.6 , 23, C9 &gt; 0.55 , 22, C9 &gt; 0.5, 21, C9 &gt; 0.45, 20, C9 &gt; 0.4, 19, C9 &gt; 0.35, 18, C9 &lt;= 0.35, 0 )</f>
        <v>0</v>
      </c>
      <c r="F9" s="1"/>
    </row>
    <row r="10" customFormat="false" ht="12.8" hidden="false" customHeight="false" outlineLevel="0" collapsed="false">
      <c r="A10" s="1" t="n">
        <f aca="false">(Sheet1!B25)</f>
        <v>7.2</v>
      </c>
      <c r="B10" s="1" t="n">
        <f aca="false">(3/$G$2)</f>
        <v>0.0508474576271187</v>
      </c>
      <c r="C10" s="1" t="n">
        <f aca="false">SUM($B10:$B$60)</f>
        <v>0.864406779661017</v>
      </c>
      <c r="D10" s="1" t="n">
        <v>29</v>
      </c>
      <c r="E10" s="1" t="n">
        <f aca="false">_xlfn.IFS(C10 &gt; 0.95, 31, C10 &gt; 0.9, 30, C10 &gt; 0.85,  29, C10 &gt; 0.8, 27, C10 &gt; 0.75, 26, C10 &gt; 0.7, 25, C10 &gt; 0.65, 24, C10 &gt; 0.6 , 23, C10 &gt; 0.55 , 22, C10 &gt; 0.5, 21, C10 &gt; 0.45, 20, C10 &gt; 0.4, 19, C10 &gt; 0.35, 18, C10 &lt;= 0.35, 0 )</f>
        <v>29</v>
      </c>
      <c r="F10" s="1"/>
    </row>
    <row r="11" customFormat="false" ht="12.8" hidden="false" customHeight="false" outlineLevel="0" collapsed="false">
      <c r="A11" s="1" t="n">
        <f aca="false">(Sheet1!B30)</f>
        <v>32.2</v>
      </c>
      <c r="B11" s="1"/>
      <c r="C11" s="1"/>
      <c r="D11" s="1"/>
      <c r="E11" s="1" t="n">
        <f aca="false">_xlfn.IFS(C11 &gt; 0.95, 31, C11 &gt; 0.9, 30, C11 &gt; 0.85,  29, C11 &gt; 0.8, 27, C11 &gt; 0.75, 26, C11 &gt; 0.7, 25, C11 &gt; 0.65, 24, C11 &gt; 0.6 , 23, C11 &gt; 0.55 , 22, C11 &gt; 0.5, 21, C11 &gt; 0.45, 20, C11 &gt; 0.4, 19, C11 &gt; 0.35, 18, C11 &lt;= 0.35, 0 )</f>
        <v>0</v>
      </c>
      <c r="F11" s="1"/>
    </row>
    <row r="12" customFormat="false" ht="12.8" hidden="false" customHeight="false" outlineLevel="0" collapsed="false">
      <c r="A12" s="1" t="n">
        <f aca="false">(Sheet1!B45)</f>
        <v>70</v>
      </c>
      <c r="B12" s="1"/>
      <c r="C12" s="1"/>
      <c r="D12" s="1"/>
      <c r="E12" s="1" t="n">
        <f aca="false">_xlfn.IFS(C12 &gt; 0.95, 31, C12 &gt; 0.9, 30, C12 &gt; 0.85,  29, C12 &gt; 0.8, 27, C12 &gt; 0.75, 26, C12 &gt; 0.7, 25, C12 &gt; 0.65, 24, C12 &gt; 0.6 , 23, C12 &gt; 0.55 , 22, C12 &gt; 0.5, 21, C12 &gt; 0.45, 20, C12 &gt; 0.4, 19, C12 &gt; 0.35, 18, C12 &lt;= 0.35, 0 )</f>
        <v>0</v>
      </c>
      <c r="F12" s="1"/>
    </row>
    <row r="13" customFormat="false" ht="12.8" hidden="false" customHeight="false" outlineLevel="0" collapsed="false">
      <c r="A13" s="1" t="n">
        <f aca="false">(Sheet1!B5)</f>
        <v>0</v>
      </c>
      <c r="B13" s="1" t="n">
        <f aca="false">(2/$G$2)</f>
        <v>0.0338983050847458</v>
      </c>
      <c r="C13" s="1" t="n">
        <f aca="false">SUM($B13:$B$60)</f>
        <v>0.813559322033898</v>
      </c>
      <c r="D13" s="1" t="n">
        <v>28</v>
      </c>
      <c r="E13" s="1" t="n">
        <f aca="false">_xlfn.IFS(C13 &gt; 0.95, 31, C13 &gt; 0.9, 30, C13 &gt; 0.85,  29, C13 &gt; 0.8, 27, C13 &gt; 0.75, 26, C13 &gt; 0.7, 25, C13 &gt; 0.65, 24, C13 &gt; 0.6 , 23, C13 &gt; 0.55 , 22, C13 &gt; 0.5, 21, C13 &gt; 0.45, 20, C13 &gt; 0.4, 19, C13 &gt; 0.35, 18, C13 &lt;= 0.35, 0 )</f>
        <v>27</v>
      </c>
      <c r="F13" s="1"/>
    </row>
    <row r="14" customFormat="false" ht="12.8" hidden="false" customHeight="false" outlineLevel="0" collapsed="false">
      <c r="A14" s="1" t="n">
        <f aca="false">(Sheet1!B49)</f>
        <v>0</v>
      </c>
      <c r="B14" s="1"/>
      <c r="C14" s="1"/>
      <c r="D14" s="1"/>
      <c r="E14" s="1" t="n">
        <f aca="false">_xlfn.IFS(C14 &gt; 0.95, 31, C14 &gt; 0.9, 30, C14 &gt; 0.85,  29, C14 &gt; 0.8, 27, C14 &gt; 0.75, 26, C14 &gt; 0.7, 25, C14 &gt; 0.65, 24, C14 &gt; 0.6 , 23, C14 &gt; 0.55 , 22, C14 &gt; 0.5, 21, C14 &gt; 0.45, 20, C14 &gt; 0.4, 19, C14 &gt; 0.35, 18, C14 &lt;= 0.35, 0 )</f>
        <v>0</v>
      </c>
      <c r="F14" s="1"/>
    </row>
    <row r="15" customFormat="false" ht="12.8" hidden="false" customHeight="false" outlineLevel="0" collapsed="false">
      <c r="A15" s="1" t="n">
        <f aca="false">(Sheet1!B29)</f>
        <v>37</v>
      </c>
      <c r="B15" s="1" t="n">
        <f aca="false">(1/$G$2)</f>
        <v>0.0169491525423729</v>
      </c>
      <c r="C15" s="1" t="n">
        <f aca="false">SUM($B15:$B$60)</f>
        <v>0.779661016949152</v>
      </c>
      <c r="D15" s="1" t="n">
        <v>27</v>
      </c>
      <c r="E15" s="1" t="n">
        <f aca="false">_xlfn.IFS(C15 &gt; 0.95, 31, C15 &gt; 0.9, 30, C15 &gt; 0.85,  29, C15 &gt; 0.8, 27, C15 &gt; 0.75, 26, C15 &gt; 0.7, 25, C15 &gt; 0.65, 24, C15 &gt; 0.6 , 23, C15 &gt; 0.55 , 22, C15 &gt; 0.5, 21, C15 &gt; 0.45, 20, C15 &gt; 0.4, 19, C15 &gt; 0.35, 18, C15 &lt;= 0.35, 0 )</f>
        <v>26</v>
      </c>
      <c r="F15" s="1"/>
    </row>
    <row r="16" customFormat="false" ht="12.8" hidden="false" customHeight="false" outlineLevel="0" collapsed="false">
      <c r="A16" s="1" t="n">
        <f aca="false">(Sheet1!B40)</f>
        <v>38</v>
      </c>
      <c r="B16" s="1" t="n">
        <f aca="false">(1/$G$2)</f>
        <v>0.0169491525423729</v>
      </c>
      <c r="C16" s="1" t="n">
        <f aca="false">SUM($B16:$B$60)</f>
        <v>0.76271186440678</v>
      </c>
      <c r="D16" s="1" t="n">
        <v>27</v>
      </c>
      <c r="E16" s="1" t="n">
        <f aca="false">_xlfn.IFS(C16 &gt; 0.95, 31, C16 &gt; 0.9, 30, C16 &gt; 0.85,  29, C16 &gt; 0.8, 27, C16 &gt; 0.75, 26, C16 &gt; 0.7, 25, C16 &gt; 0.65, 24, C16 &gt; 0.6 , 23, C16 &gt; 0.55 , 22, C16 &gt; 0.5, 21, C16 &gt; 0.45, 20, C16 &gt; 0.4, 19, C16 &gt; 0.35, 18, C16 &lt;= 0.35, 0 )</f>
        <v>26</v>
      </c>
      <c r="F16" s="1"/>
    </row>
    <row r="17" customFormat="false" ht="12.8" hidden="false" customHeight="false" outlineLevel="0" collapsed="false">
      <c r="A17" s="1" t="n">
        <f aca="false">(Sheet1!B15)</f>
        <v>81</v>
      </c>
      <c r="B17" s="1" t="n">
        <f aca="false">(4/$G$2)</f>
        <v>0.0677966101694915</v>
      </c>
      <c r="C17" s="1" t="n">
        <f aca="false">SUM($B17:$B$60)</f>
        <v>0.745762711864407</v>
      </c>
      <c r="D17" s="1" t="n">
        <v>26</v>
      </c>
      <c r="E17" s="1" t="n">
        <f aca="false">_xlfn.IFS(C17 &gt; 0.95, 31, C17 &gt; 0.9, 30, C17 &gt; 0.85,  29, C17 &gt; 0.8, 27, C17 &gt; 0.75, 26, C17 &gt; 0.7, 25, C17 &gt; 0.65, 24, C17 &gt; 0.6 , 23, C17 &gt; 0.55 , 22, C17 &gt; 0.5, 21, C17 &gt; 0.45, 20, C17 &gt; 0.4, 19, C17 &gt; 0.35, 18, C17 &lt;= 0.35, 0 )</f>
        <v>25</v>
      </c>
      <c r="F17" s="1"/>
    </row>
    <row r="18" customFormat="false" ht="12.8" hidden="false" customHeight="false" outlineLevel="0" collapsed="false">
      <c r="A18" s="1" t="n">
        <f aca="false">(Sheet1!B39)</f>
        <v>0</v>
      </c>
      <c r="B18" s="1"/>
      <c r="C18" s="1"/>
      <c r="D18" s="1"/>
      <c r="E18" s="1" t="n">
        <f aca="false">_xlfn.IFS(C18 &gt; 0.95, 31, C18 &gt; 0.9, 30, C18 &gt; 0.85,  29, C18 &gt; 0.8, 27, C18 &gt; 0.75, 26, C18 &gt; 0.7, 25, C18 &gt; 0.65, 24, C18 &gt; 0.6 , 23, C18 &gt; 0.55 , 22, C18 &gt; 0.5, 21, C18 &gt; 0.45, 20, C18 &gt; 0.4, 19, C18 &gt; 0.35, 18, C18 &lt;= 0.35, 0 )</f>
        <v>0</v>
      </c>
      <c r="F18" s="1"/>
    </row>
    <row r="19" customFormat="false" ht="12.8" hidden="false" customHeight="false" outlineLevel="0" collapsed="false">
      <c r="A19" s="1" t="e">
        <f aca="false">(#REF!)</f>
        <v>#REF!</v>
      </c>
      <c r="B19" s="1"/>
      <c r="C19" s="1"/>
      <c r="D19" s="1"/>
      <c r="E19" s="1" t="n">
        <f aca="false">_xlfn.IFS(C19 &gt; 0.95, 31, C19 &gt; 0.9, 30, C19 &gt; 0.85,  29, C19 &gt; 0.8, 27, C19 &gt; 0.75, 26, C19 &gt; 0.7, 25, C19 &gt; 0.65, 24, C19 &gt; 0.6 , 23, C19 &gt; 0.55 , 22, C19 &gt; 0.5, 21, C19 &gt; 0.45, 20, C19 &gt; 0.4, 19, C19 &gt; 0.35, 18, C19 &lt;= 0.35, 0 )</f>
        <v>0</v>
      </c>
      <c r="F19" s="1"/>
    </row>
    <row r="20" customFormat="false" ht="12.8" hidden="false" customHeight="false" outlineLevel="0" collapsed="false">
      <c r="A20" s="1" t="e">
        <f aca="false">(#REF!)</f>
        <v>#REF!</v>
      </c>
      <c r="B20" s="1"/>
      <c r="C20" s="1"/>
      <c r="D20" s="1"/>
      <c r="E20" s="1" t="n">
        <f aca="false">_xlfn.IFS(C20 &gt; 0.95, 31, C20 &gt; 0.9, 30, C20 &gt; 0.85,  29, C20 &gt; 0.8, 27, C20 &gt; 0.75, 26, C20 &gt; 0.7, 25, C20 &gt; 0.65, 24, C20 &gt; 0.6 , 23, C20 &gt; 0.55 , 22, C20 &gt; 0.5, 21, C20 &gt; 0.45, 20, C20 &gt; 0.4, 19, C20 &gt; 0.35, 18, C20 &lt;= 0.35, 0 )</f>
        <v>0</v>
      </c>
      <c r="F20" s="1"/>
    </row>
    <row r="21" customFormat="false" ht="12.8" hidden="false" customHeight="false" outlineLevel="0" collapsed="false">
      <c r="A21" s="1" t="n">
        <f aca="false">(Sheet1!B9)</f>
        <v>81</v>
      </c>
      <c r="B21" s="1" t="n">
        <f aca="false">(3/$G$2)</f>
        <v>0.0508474576271187</v>
      </c>
      <c r="C21" s="1" t="n">
        <f aca="false">SUM($B21:$B$60)</f>
        <v>0.677966101694915</v>
      </c>
      <c r="D21" s="1" t="n">
        <v>25</v>
      </c>
      <c r="E21" s="1" t="n">
        <f aca="false">_xlfn.IFS(C21 &gt; 0.95, 31, C21 &gt; 0.9, 30, C21 &gt; 0.85,  29, C21 &gt; 0.8, 27, C21 &gt; 0.75, 26, C21 &gt; 0.7, 25, C21 &gt; 0.65, 24, C21 &gt; 0.6 , 23, C21 &gt; 0.55 , 22, C21 &gt; 0.5, 21, C21 &gt; 0.45, 20, C21 &gt; 0.4, 19, C21 &gt; 0.35, 18, C21 &lt;= 0.35, 0 )</f>
        <v>24</v>
      </c>
      <c r="F21" s="1"/>
    </row>
    <row r="22" customFormat="false" ht="12.8" hidden="false" customHeight="false" outlineLevel="0" collapsed="false">
      <c r="A22" s="1" t="n">
        <f aca="false">(Sheet1!B37)</f>
        <v>86</v>
      </c>
      <c r="B22" s="1"/>
      <c r="C22" s="1"/>
      <c r="D22" s="1"/>
      <c r="E22" s="1" t="n">
        <f aca="false">_xlfn.IFS(C22 &gt; 0.95, 31, C22 &gt; 0.9, 30, C22 &gt; 0.85,  29, C22 &gt; 0.8, 27, C22 &gt; 0.75, 26, C22 &gt; 0.7, 25, C22 &gt; 0.65, 24, C22 &gt; 0.6 , 23, C22 &gt; 0.55 , 22, C22 &gt; 0.5, 21, C22 &gt; 0.45, 20, C22 &gt; 0.4, 19, C22 &gt; 0.35, 18, C22 &lt;= 0.35, 0 )</f>
        <v>0</v>
      </c>
      <c r="F22" s="1"/>
    </row>
    <row r="23" customFormat="false" ht="12.8" hidden="false" customHeight="false" outlineLevel="0" collapsed="false">
      <c r="A23" s="1" t="n">
        <f aca="false">(Sheet1!B38)</f>
        <v>77</v>
      </c>
      <c r="B23" s="1"/>
      <c r="C23" s="1"/>
      <c r="D23" s="1"/>
      <c r="E23" s="1" t="n">
        <f aca="false">_xlfn.IFS(C23 &gt; 0.95, 31, C23 &gt; 0.9, 30, C23 &gt; 0.85,  29, C23 &gt; 0.8, 27, C23 &gt; 0.75, 26, C23 &gt; 0.7, 25, C23 &gt; 0.65, 24, C23 &gt; 0.6 , 23, C23 &gt; 0.55 , 22, C23 &gt; 0.5, 21, C23 &gt; 0.45, 20, C23 &gt; 0.4, 19, C23 &gt; 0.35, 18, C23 &lt;= 0.35, 0 )</f>
        <v>0</v>
      </c>
      <c r="F23" s="1"/>
    </row>
    <row r="24" customFormat="false" ht="12.8" hidden="false" customHeight="false" outlineLevel="0" collapsed="false">
      <c r="A24" s="1" t="n">
        <f aca="false">(Sheet1!B42)</f>
        <v>73</v>
      </c>
      <c r="B24" s="1" t="n">
        <f aca="false">(1/$G$2)</f>
        <v>0.0169491525423729</v>
      </c>
      <c r="C24" s="1" t="n">
        <f aca="false">SUM($B24:$B$60)</f>
        <v>0.627118644067797</v>
      </c>
      <c r="D24" s="1" t="n">
        <v>24</v>
      </c>
      <c r="E24" s="1" t="n">
        <f aca="false">_xlfn.IFS(C24 &gt; 0.95, 31, C24 &gt; 0.9, 30, C24 &gt; 0.85,  29, C24 &gt; 0.8, 27, C24 &gt; 0.75, 26, C24 &gt; 0.7, 25, C24 &gt; 0.65, 24, C24 &gt; 0.6 , 23, C24 &gt; 0.55 , 22, C24 &gt; 0.5, 21, C24 &gt; 0.45, 20, C24 &gt; 0.4, 19, C24 &gt; 0.35, 18, C24 &lt;= 0.35, 0 )</f>
        <v>23</v>
      </c>
      <c r="F24" s="1"/>
    </row>
    <row r="25" customFormat="false" ht="12.8" hidden="false" customHeight="false" outlineLevel="0" collapsed="false">
      <c r="A25" s="1" t="n">
        <f aca="false">(Sheet1!B12)</f>
        <v>91</v>
      </c>
      <c r="B25" s="1" t="n">
        <f aca="false">(2/$G$2)</f>
        <v>0.0338983050847458</v>
      </c>
      <c r="C25" s="1" t="n">
        <f aca="false">SUM($B25:$B$60)</f>
        <v>0.610169491525424</v>
      </c>
      <c r="D25" s="1" t="n">
        <v>24</v>
      </c>
      <c r="E25" s="1" t="n">
        <f aca="false">_xlfn.IFS(C25 &gt; 0.95, 31, C25 &gt; 0.9, 30, C25 &gt; 0.85,  29, C25 &gt; 0.8, 27, C25 &gt; 0.75, 26, C25 &gt; 0.7, 25, C25 &gt; 0.65, 24, C25 &gt; 0.6 , 23, C25 &gt; 0.55 , 22, C25 &gt; 0.5, 21, C25 &gt; 0.45, 20, C25 &gt; 0.4, 19, C25 &gt; 0.35, 18, C25 &lt;= 0.35, 0 )</f>
        <v>23</v>
      </c>
      <c r="F25" s="1"/>
    </row>
    <row r="26" customFormat="false" ht="12.8" hidden="false" customHeight="false" outlineLevel="0" collapsed="false">
      <c r="A26" s="1" t="n">
        <f aca="false">(Sheet1!B17)</f>
        <v>61</v>
      </c>
      <c r="B26" s="1"/>
      <c r="C26" s="1"/>
      <c r="D26" s="1"/>
      <c r="E26" s="1" t="n">
        <f aca="false">_xlfn.IFS(C26 &gt; 0.95, 31, C26 &gt; 0.9, 30, C26 &gt; 0.85,  29, C26 &gt; 0.8, 27, C26 &gt; 0.75, 26, C26 &gt; 0.7, 25, C26 &gt; 0.65, 24, C26 &gt; 0.6 , 23, C26 &gt; 0.55 , 22, C26 &gt; 0.5, 21, C26 &gt; 0.45, 20, C26 &gt; 0.4, 19, C26 &gt; 0.35, 18, C26 &lt;= 0.35, 0 )</f>
        <v>0</v>
      </c>
      <c r="F26" s="1"/>
    </row>
    <row r="27" customFormat="false" ht="12.8" hidden="false" customHeight="false" outlineLevel="0" collapsed="false">
      <c r="A27" s="1" t="n">
        <f aca="false">(Sheet1!B35)</f>
        <v>76</v>
      </c>
      <c r="B27" s="1" t="n">
        <f aca="false">(2/$G$2)</f>
        <v>0.0338983050847458</v>
      </c>
      <c r="C27" s="1" t="n">
        <f aca="false">SUM($B27:$B$60)</f>
        <v>0.576271186440678</v>
      </c>
      <c r="D27" s="1" t="n">
        <v>23</v>
      </c>
      <c r="E27" s="1" t="n">
        <f aca="false">_xlfn.IFS(C27 &gt; 0.95, 31, C27 &gt; 0.9, 30, C27 &gt; 0.85,  29, C27 &gt; 0.8, 27, C27 &gt; 0.75, 26, C27 &gt; 0.7, 25, C27 &gt; 0.65, 24, C27 &gt; 0.6 , 23, C27 &gt; 0.55 , 22, C27 &gt; 0.5, 21, C27 &gt; 0.45, 20, C27 &gt; 0.4, 19, C27 &gt; 0.35, 18, C27 &lt;= 0.35, 0 )</f>
        <v>22</v>
      </c>
      <c r="F27" s="1"/>
    </row>
    <row r="28" customFormat="false" ht="12.8" hidden="false" customHeight="false" outlineLevel="0" collapsed="false">
      <c r="A28" s="1" t="n">
        <f aca="false">(Sheet1!B48)</f>
        <v>83</v>
      </c>
      <c r="B28" s="1"/>
      <c r="C28" s="1"/>
      <c r="D28" s="1"/>
      <c r="E28" s="1" t="n">
        <f aca="false">_xlfn.IFS(C28 &gt; 0.95, 31, C28 &gt; 0.9, 30, C28 &gt; 0.85,  29, C28 &gt; 0.8, 27, C28 &gt; 0.75, 26, C28 &gt; 0.7, 25, C28 &gt; 0.65, 24, C28 &gt; 0.6 , 23, C28 &gt; 0.55 , 22, C28 &gt; 0.5, 21, C28 &gt; 0.45, 20, C28 &gt; 0.4, 19, C28 &gt; 0.35, 18, C28 &lt;= 0.35, 0 )</f>
        <v>0</v>
      </c>
      <c r="F28" s="1"/>
    </row>
    <row r="29" customFormat="false" ht="12.8" hidden="false" customHeight="false" outlineLevel="0" collapsed="false">
      <c r="A29" s="1" t="n">
        <f aca="false">(Sheet1!B8)</f>
        <v>32.2</v>
      </c>
      <c r="B29" s="1" t="n">
        <f aca="false">(7/$G$2)</f>
        <v>0.11864406779661</v>
      </c>
      <c r="C29" s="1" t="n">
        <f aca="false">SUM($B29:$B$60)</f>
        <v>0.542372881355932</v>
      </c>
      <c r="D29" s="1" t="n">
        <v>22</v>
      </c>
      <c r="E29" s="1" t="n">
        <f aca="false">_xlfn.IFS(C29 &gt; 0.95, 31, C29 &gt; 0.9, 30, C29 &gt; 0.85,  29, C29 &gt; 0.8, 27, C29 &gt; 0.75, 26, C29 &gt; 0.7, 25, C29 &gt; 0.65, 24, C29 &gt; 0.6 , 23, C29 &gt; 0.55 , 22, C29 &gt; 0.5, 21, C29 &gt; 0.45, 20, C29 &gt; 0.4, 19, C29 &gt; 0.35, 18, C29 &lt;= 0.35, 0 )</f>
        <v>21</v>
      </c>
      <c r="F29" s="1"/>
    </row>
    <row r="30" customFormat="false" ht="12.8" hidden="false" customHeight="false" outlineLevel="0" collapsed="false">
      <c r="A30" s="1" t="n">
        <f aca="false">(Sheet1!B19)</f>
        <v>3</v>
      </c>
      <c r="B30" s="1"/>
      <c r="C30" s="1"/>
      <c r="D30" s="1"/>
      <c r="E30" s="1" t="n">
        <f aca="false">_xlfn.IFS(C30 &gt; 0.95, 31, C30 &gt; 0.9, 30, C30 &gt; 0.85,  29, C30 &gt; 0.8, 27, C30 &gt; 0.75, 26, C30 &gt; 0.7, 25, C30 &gt; 0.65, 24, C30 &gt; 0.6 , 23, C30 &gt; 0.55 , 22, C30 &gt; 0.5, 21, C30 &gt; 0.45, 20, C30 &gt; 0.4, 19, C30 &gt; 0.35, 18, C30 &lt;= 0.35, 0 )</f>
        <v>0</v>
      </c>
      <c r="F30" s="1"/>
    </row>
    <row r="31" customFormat="false" ht="12.8" hidden="false" customHeight="false" outlineLevel="0" collapsed="false">
      <c r="A31" s="1" t="n">
        <f aca="false">(Sheet1!B21)</f>
        <v>22.2</v>
      </c>
      <c r="B31" s="1"/>
      <c r="C31" s="1"/>
      <c r="D31" s="1"/>
      <c r="E31" s="1" t="n">
        <f aca="false">_xlfn.IFS(C31 &gt; 0.95, 31, C31 &gt; 0.9, 30, C31 &gt; 0.85,  29, C31 &gt; 0.8, 27, C31 &gt; 0.75, 26, C31 &gt; 0.7, 25, C31 &gt; 0.65, 24, C31 &gt; 0.6 , 23, C31 &gt; 0.55 , 22, C31 &gt; 0.5, 21, C31 &gt; 0.45, 20, C31 &gt; 0.4, 19, C31 &gt; 0.35, 18, C31 &lt;= 0.35, 0 )</f>
        <v>0</v>
      </c>
      <c r="F31" s="1"/>
    </row>
    <row r="32" customFormat="false" ht="12.8" hidden="false" customHeight="false" outlineLevel="0" collapsed="false">
      <c r="A32" s="1" t="n">
        <f aca="false">(Sheet1!B22)</f>
        <v>0</v>
      </c>
      <c r="B32" s="1"/>
      <c r="C32" s="1"/>
      <c r="D32" s="1"/>
      <c r="E32" s="1" t="n">
        <f aca="false">_xlfn.IFS(C32 &gt; 0.95, 31, C32 &gt; 0.9, 30, C32 &gt; 0.85,  29, C32 &gt; 0.8, 27, C32 &gt; 0.75, 26, C32 &gt; 0.7, 25, C32 &gt; 0.65, 24, C32 &gt; 0.6 , 23, C32 &gt; 0.55 , 22, C32 &gt; 0.5, 21, C32 &gt; 0.45, 20, C32 &gt; 0.4, 19, C32 &gt; 0.35, 18, C32 &lt;= 0.35, 0 )</f>
        <v>0</v>
      </c>
      <c r="F32" s="1"/>
    </row>
    <row r="33" customFormat="false" ht="12.8" hidden="false" customHeight="false" outlineLevel="0" collapsed="false">
      <c r="A33" s="1" t="n">
        <f aca="false">(Sheet1!B27)</f>
        <v>31.2</v>
      </c>
      <c r="B33" s="1"/>
      <c r="C33" s="1"/>
      <c r="D33" s="1"/>
      <c r="E33" s="1" t="n">
        <f aca="false">_xlfn.IFS(C33 &gt; 0.95, 31, C33 &gt; 0.9, 30, C33 &gt; 0.85,  29, C33 &gt; 0.8, 27, C33 &gt; 0.75, 26, C33 &gt; 0.7, 25, C33 &gt; 0.65, 24, C33 &gt; 0.6 , 23, C33 &gt; 0.55 , 22, C33 &gt; 0.5, 21, C33 &gt; 0.45, 20, C33 &gt; 0.4, 19, C33 &gt; 0.35, 18, C33 &lt;= 0.35, 0 )</f>
        <v>0</v>
      </c>
      <c r="F33" s="1"/>
    </row>
    <row r="34" customFormat="false" ht="12.8" hidden="false" customHeight="false" outlineLevel="0" collapsed="false">
      <c r="A34" s="1" t="n">
        <f aca="false">(Sheet1!B34)</f>
        <v>81</v>
      </c>
      <c r="B34" s="1"/>
      <c r="C34" s="1"/>
      <c r="D34" s="1"/>
      <c r="E34" s="1" t="n">
        <f aca="false">_xlfn.IFS(C34 &gt; 0.95, 31, C34 &gt; 0.9, 30, C34 &gt; 0.85,  29, C34 &gt; 0.8, 27, C34 &gt; 0.75, 26, C34 &gt; 0.7, 25, C34 &gt; 0.65, 24, C34 &gt; 0.6 , 23, C34 &gt; 0.55 , 22, C34 &gt; 0.5, 21, C34 &gt; 0.45, 20, C34 &gt; 0.4, 19, C34 &gt; 0.35, 18, C34 &lt;= 0.35, 0 )</f>
        <v>0</v>
      </c>
      <c r="F34" s="1"/>
    </row>
    <row r="35" customFormat="false" ht="12.8" hidden="false" customHeight="false" outlineLevel="0" collapsed="false">
      <c r="A35" s="1" t="e">
        <f aca="false">(#REF!)</f>
        <v>#REF!</v>
      </c>
      <c r="B35" s="1"/>
      <c r="C35" s="1"/>
      <c r="E35" s="1" t="n">
        <f aca="false">_xlfn.IFS(C35 &gt; 0.95, 31, C35 &gt; 0.9, 30, C35 &gt; 0.85,  29, C35 &gt; 0.8, 27, C35 &gt; 0.75, 26, C35 &gt; 0.7, 25, C35 &gt; 0.65, 24, C35 &gt; 0.6 , 23, C35 &gt; 0.55 , 22, C35 &gt; 0.5, 21, C35 &gt; 0.45, 20, C35 &gt; 0.4, 19, C35 &gt; 0.35, 18, C35 &lt;= 0.35, 0 )</f>
        <v>0</v>
      </c>
    </row>
    <row r="36" customFormat="false" ht="12.8" hidden="false" customHeight="false" outlineLevel="0" collapsed="false">
      <c r="A36" s="1" t="n">
        <f aca="false">(Sheet1!B23)</f>
        <v>46</v>
      </c>
      <c r="B36" s="1" t="n">
        <f aca="false">(4/$G$2)</f>
        <v>0.0677966101694915</v>
      </c>
      <c r="C36" s="1" t="n">
        <f aca="false">SUM($B36:$B$60)</f>
        <v>0.423728813559322</v>
      </c>
      <c r="D36" s="1" t="n">
        <v>20</v>
      </c>
      <c r="E36" s="1" t="n">
        <f aca="false">_xlfn.IFS(C36 &gt; 0.95, 31, C36 &gt; 0.9, 30, C36 &gt; 0.85,  29, C36 &gt; 0.8, 27, C36 &gt; 0.75, 26, C36 &gt; 0.7, 25, C36 &gt; 0.65, 24, C36 &gt; 0.6 , 23, C36 &gt; 0.55 , 22, C36 &gt; 0.5, 21, C36 &gt; 0.45, 20, C36 &gt; 0.4, 19, C36 &gt; 0.35, 18, C36 &lt;= 0.35, 0 )</f>
        <v>19</v>
      </c>
      <c r="F36" s="1"/>
    </row>
    <row r="37" customFormat="false" ht="12.8" hidden="false" customHeight="false" outlineLevel="0" collapsed="false">
      <c r="A37" s="1" t="n">
        <f aca="false">(Sheet1!B26)</f>
        <v>91</v>
      </c>
      <c r="B37" s="1"/>
      <c r="C37" s="1"/>
      <c r="D37" s="1"/>
      <c r="E37" s="1" t="n">
        <f aca="false">_xlfn.IFS(C37 &gt; 0.95, 31, C37 &gt; 0.9, 30, C37 &gt; 0.85,  29, C37 &gt; 0.8, 27, C37 &gt; 0.75, 26, C37 &gt; 0.7, 25, C37 &gt; 0.65, 24, C37 &gt; 0.6 , 23, C37 &gt; 0.55 , 22, C37 &gt; 0.5, 21, C37 &gt; 0.45, 20, C37 &gt; 0.4, 19, C37 &gt; 0.35, 18, C37 &lt;= 0.35, 0 )</f>
        <v>0</v>
      </c>
      <c r="F37" s="1"/>
    </row>
    <row r="38" customFormat="false" ht="12.8" hidden="false" customHeight="false" outlineLevel="0" collapsed="false">
      <c r="A38" s="1" t="n">
        <f aca="false">(Sheet1!B28)</f>
        <v>54</v>
      </c>
      <c r="B38" s="1"/>
      <c r="C38" s="1"/>
      <c r="D38" s="1"/>
      <c r="E38" s="1" t="n">
        <f aca="false">_xlfn.IFS(C38 &gt; 0.95, 31, C38 &gt; 0.9, 30, C38 &gt; 0.85,  29, C38 &gt; 0.8, 27, C38 &gt; 0.75, 26, C38 &gt; 0.7, 25, C38 &gt; 0.65, 24, C38 &gt; 0.6 , 23, C38 &gt; 0.55 , 22, C38 &gt; 0.5, 21, C38 &gt; 0.45, 20, C38 &gt; 0.4, 19, C38 &gt; 0.35, 18, C38 &lt;= 0.35, 0 )</f>
        <v>0</v>
      </c>
      <c r="F38" s="1"/>
    </row>
    <row r="39" customFormat="false" ht="12.8" hidden="false" customHeight="false" outlineLevel="0" collapsed="false">
      <c r="A39" s="1" t="n">
        <f aca="false">(Sheet1!B50)</f>
        <v>56</v>
      </c>
      <c r="B39" s="1"/>
      <c r="C39" s="1"/>
      <c r="D39" s="1"/>
      <c r="E39" s="1" t="n">
        <f aca="false">_xlfn.IFS(C39 &gt; 0.95, 31, C39 &gt; 0.9, 30, C39 &gt; 0.85,  29, C39 &gt; 0.8, 27, C39 &gt; 0.75, 26, C39 &gt; 0.7, 25, C39 &gt; 0.65, 24, C39 &gt; 0.6 , 23, C39 &gt; 0.55 , 22, C39 &gt; 0.5, 21, C39 &gt; 0.45, 20, C39 &gt; 0.4, 19, C39 &gt; 0.35, 18, C39 &lt;= 0.35, 0 )</f>
        <v>0</v>
      </c>
      <c r="F39" s="1"/>
    </row>
    <row r="40" customFormat="false" ht="12.8" hidden="false" customHeight="false" outlineLevel="0" collapsed="false">
      <c r="A40" s="1" t="n">
        <f aca="false">(Sheet1!B4)</f>
        <v>12.2</v>
      </c>
      <c r="B40" s="1" t="n">
        <f aca="false">(2/$G$2)</f>
        <v>0.0338983050847458</v>
      </c>
      <c r="C40" s="1" t="n">
        <f aca="false">SUM($B40:$B$60)</f>
        <v>0.355932203389831</v>
      </c>
      <c r="D40" s="1" t="n">
        <v>18</v>
      </c>
      <c r="E40" s="1" t="n">
        <f aca="false">_xlfn.IFS(C40 &gt; 0.95, 31, C40 &gt; 0.9, 30, C40 &gt; 0.85,  29, C40 &gt; 0.8, 27, C40 &gt; 0.75, 26, C40 &gt; 0.7, 25, C40 &gt; 0.65, 24, C40 &gt; 0.6 , 23, C40 &gt; 0.55 , 22, C40 &gt; 0.5, 21, C40 &gt; 0.45, 20, C40 &gt; 0.4, 19, C40 &gt; 0.35, 18, C40 &lt;= 0.35, 0 )</f>
        <v>18</v>
      </c>
      <c r="F40" s="1"/>
    </row>
    <row r="41" customFormat="false" ht="12.8" hidden="false" customHeight="false" outlineLevel="0" collapsed="false">
      <c r="A41" s="1" t="e">
        <f aca="false">(#REF!)</f>
        <v>#REF!</v>
      </c>
      <c r="B41" s="1"/>
      <c r="C41" s="1"/>
      <c r="E41" s="1" t="n">
        <f aca="false">_xlfn.IFS(C41 &gt; 0.95, 31, C41 &gt; 0.9, 30, C41 &gt; 0.85,  29, C41 &gt; 0.8, 27, C41 &gt; 0.75, 26, C41 &gt; 0.7, 25, C41 &gt; 0.65, 24, C41 &gt; 0.6 , 23, C41 &gt; 0.55 , 22, C41 &gt; 0.5, 21, C41 &gt; 0.45, 20, C41 &gt; 0.4, 19, C41 &gt; 0.35, 18, C41 &lt;= 0.35, 0 )</f>
        <v>0</v>
      </c>
    </row>
    <row r="42" customFormat="false" ht="12.8" hidden="false" customHeight="false" outlineLevel="0" collapsed="false">
      <c r="A42" s="1" t="n">
        <f aca="false">(Sheet1!B13)</f>
        <v>75</v>
      </c>
      <c r="B42" s="1" t="n">
        <f aca="false">(1/$G$2)</f>
        <v>0.0169491525423729</v>
      </c>
      <c r="C42" s="1" t="n">
        <f aca="false">SUM($B42:$B$60)</f>
        <v>0.322033898305085</v>
      </c>
      <c r="D42" s="1" t="n">
        <v>18</v>
      </c>
      <c r="E42" s="1" t="n">
        <f aca="false">_xlfn.IFS(C42 &gt; 0.95, 31, C42 &gt; 0.9, 30, C42 &gt; 0.85,  29, C42 &gt; 0.8, 27, C42 &gt; 0.75, 26, C42 &gt; 0.7, 25, C42 &gt; 0.65, 24, C42 &gt; 0.6 , 23, C42 &gt; 0.55 , 22, C42 &gt; 0.5, 21, C42 &gt; 0.45, 20, C42 &gt; 0.4, 19, C42 &gt; 0.35, 18, C42 &lt;= 0.35, 0 )</f>
        <v>0</v>
      </c>
      <c r="F42" s="1"/>
    </row>
    <row r="43" customFormat="false" ht="12.8" hidden="false" customHeight="false" outlineLevel="0" collapsed="false">
      <c r="A43" s="1" t="n">
        <f aca="false">(Sheet1!B11)</f>
        <v>31</v>
      </c>
      <c r="B43" s="1" t="n">
        <f aca="false">(3/$G$2)</f>
        <v>0.0508474576271187</v>
      </c>
      <c r="C43" s="1" t="n">
        <f aca="false">SUM($B43:$B$60)</f>
        <v>0.305084745762712</v>
      </c>
      <c r="D43" s="1" t="n">
        <v>0</v>
      </c>
      <c r="E43" s="1" t="n">
        <f aca="false">_xlfn.IFS(C43 &gt; 0.95, 31, C43 &gt; 0.9, 30, C43 &gt; 0.85,  29, C43 &gt; 0.8, 27, C43 &gt; 0.75, 26, C43 &gt; 0.7, 25, C43 &gt; 0.65, 24, C43 &gt; 0.6 , 23, C43 &gt; 0.55 , 22, C43 &gt; 0.5, 21, C43 &gt; 0.45, 20, C43 &gt; 0.4, 19, C43 &gt; 0.35, 18, C43 &lt;= 0.35, 0 )</f>
        <v>0</v>
      </c>
      <c r="F43" s="1"/>
    </row>
    <row r="44" customFormat="false" ht="12.8" hidden="false" customHeight="false" outlineLevel="0" collapsed="false">
      <c r="A44" s="1" t="n">
        <f aca="false">(Sheet1!B33)</f>
        <v>6</v>
      </c>
      <c r="B44" s="1"/>
      <c r="C44" s="1"/>
      <c r="D44" s="1"/>
      <c r="E44" s="1" t="n">
        <f aca="false">_xlfn.IFS(C44 &gt; 0.95, 31, C44 &gt; 0.9, 30, C44 &gt; 0.85,  29, C44 &gt; 0.8, 27, C44 &gt; 0.75, 26, C44 &gt; 0.7, 25, C44 &gt; 0.65, 24, C44 &gt; 0.6 , 23, C44 &gt; 0.55 , 22, C44 &gt; 0.5, 21, C44 &gt; 0.45, 20, C44 &gt; 0.4, 19, C44 &gt; 0.35, 18, C44 &lt;= 0.35, 0 )</f>
        <v>0</v>
      </c>
      <c r="F44" s="1"/>
    </row>
    <row r="45" customFormat="false" ht="12.8" hidden="false" customHeight="false" outlineLevel="0" collapsed="false">
      <c r="A45" s="1" t="n">
        <f aca="false">(Sheet1!B44)</f>
        <v>66</v>
      </c>
      <c r="B45" s="1"/>
      <c r="C45" s="1"/>
      <c r="D45" s="1"/>
      <c r="E45" s="1" t="n">
        <f aca="false">_xlfn.IFS(C45 &gt; 0.95, 31, C45 &gt; 0.9, 30, C45 &gt; 0.85,  29, C45 &gt; 0.8, 27, C45 &gt; 0.75, 26, C45 &gt; 0.7, 25, C45 &gt; 0.65, 24, C45 &gt; 0.6 , 23, C45 &gt; 0.55 , 22, C45 &gt; 0.5, 21, C45 &gt; 0.45, 20, C45 &gt; 0.4, 19, C45 &gt; 0.35, 18, C45 &lt;= 0.35, 0 )</f>
        <v>0</v>
      </c>
      <c r="F45" s="1"/>
    </row>
    <row r="46" customFormat="false" ht="12.8" hidden="false" customHeight="false" outlineLevel="0" collapsed="false">
      <c r="A46" s="1" t="n">
        <f aca="false">(Sheet1!B43)</f>
        <v>57.2</v>
      </c>
      <c r="B46" s="1" t="n">
        <f aca="false">(2/$G$2)</f>
        <v>0.0338983050847458</v>
      </c>
      <c r="C46" s="1" t="n">
        <f aca="false">SUM($B46:$B$60)</f>
        <v>0.254237288135593</v>
      </c>
      <c r="D46" s="1" t="n">
        <v>0</v>
      </c>
      <c r="E46" s="1" t="n">
        <f aca="false">_xlfn.IFS(C46 &gt; 0.95, 31, C46 &gt; 0.9, 30, C46 &gt; 0.85,  29, C46 &gt; 0.8, 27, C46 &gt; 0.75, 26, C46 &gt; 0.7, 25, C46 &gt; 0.65, 24, C46 &gt; 0.6 , 23, C46 &gt; 0.55 , 22, C46 &gt; 0.5, 21, C46 &gt; 0.45, 20, C46 &gt; 0.4, 19, C46 &gt; 0.35, 18, C46 &lt;= 0.35, 0 )</f>
        <v>0</v>
      </c>
      <c r="F46" s="1"/>
    </row>
    <row r="47" customFormat="false" ht="12.8" hidden="false" customHeight="false" outlineLevel="0" collapsed="false">
      <c r="A47" s="1" t="e">
        <f aca="false">(#REF!)</f>
        <v>#REF!</v>
      </c>
      <c r="B47" s="1"/>
      <c r="C47" s="1"/>
      <c r="D47" s="1"/>
      <c r="E47" s="1" t="n">
        <f aca="false">_xlfn.IFS(C47 &gt; 0.95, 31, C47 &gt; 0.9, 30, C47 &gt; 0.85,  29, C47 &gt; 0.8, 27, C47 &gt; 0.75, 26, C47 &gt; 0.7, 25, C47 &gt; 0.65, 24, C47 &gt; 0.6 , 23, C47 &gt; 0.55 , 22, C47 &gt; 0.5, 21, C47 &gt; 0.45, 20, C47 &gt; 0.4, 19, C47 &gt; 0.35, 18, C47 &lt;= 0.35, 0 )</f>
        <v>0</v>
      </c>
      <c r="F47" s="1"/>
    </row>
    <row r="48" customFormat="false" ht="12.8" hidden="false" customHeight="false" outlineLevel="0" collapsed="false">
      <c r="A48" s="1" t="n">
        <f aca="false">(Sheet1!B3)</f>
        <v>86</v>
      </c>
      <c r="B48" s="1" t="n">
        <f aca="false">(13/$G$2)</f>
        <v>0.220338983050847</v>
      </c>
      <c r="C48" s="1" t="n">
        <f aca="false">SUM($B48:$B$60)</f>
        <v>0.220338983050847</v>
      </c>
      <c r="D48" s="1" t="n">
        <v>0</v>
      </c>
      <c r="E48" s="1" t="n">
        <f aca="false">_xlfn.IFS(C48 &gt; 0.95, 31, C48 &gt; 0.9, 30, C48 &gt; 0.85,  29, C48 &gt; 0.8, 27, C48 &gt; 0.75, 26, C48 &gt; 0.7, 25, C48 &gt; 0.65, 24, C48 &gt; 0.6 , 23, C48 &gt; 0.55 , 22, C48 &gt; 0.5, 21, C48 &gt; 0.45, 20, C48 &gt; 0.4, 19, C48 &gt; 0.35, 18, C48 &lt;= 0.35, 0 )</f>
        <v>0</v>
      </c>
      <c r="F48" s="1"/>
    </row>
    <row r="49" customFormat="false" ht="12.8" hidden="false" customHeight="false" outlineLevel="0" collapsed="false">
      <c r="A49" s="1" t="n">
        <f aca="false">(Sheet1!B10)</f>
        <v>76</v>
      </c>
      <c r="B49" s="1"/>
      <c r="C49" s="1"/>
      <c r="D49" s="1"/>
      <c r="E49" s="1"/>
      <c r="F49" s="1"/>
    </row>
    <row r="50" customFormat="false" ht="12.8" hidden="false" customHeight="false" outlineLevel="0" collapsed="false">
      <c r="A50" s="1" t="n">
        <f aca="false">(Sheet1!B14)</f>
        <v>81</v>
      </c>
      <c r="B50" s="1"/>
      <c r="C50" s="1"/>
      <c r="D50" s="1"/>
      <c r="E50" s="1"/>
      <c r="F50" s="1"/>
    </row>
    <row r="51" customFormat="false" ht="12.8" hidden="false" customHeight="false" outlineLevel="0" collapsed="false">
      <c r="A51" s="1" t="n">
        <f aca="false">(Sheet1!B18)</f>
        <v>4.2</v>
      </c>
      <c r="B51" s="1"/>
      <c r="C51" s="1"/>
      <c r="D51" s="1"/>
      <c r="E51" s="1"/>
      <c r="F51" s="1"/>
    </row>
    <row r="52" customFormat="false" ht="12.8" hidden="false" customHeight="false" outlineLevel="0" collapsed="false">
      <c r="A52" s="1" t="n">
        <f aca="false">(Sheet1!B24)</f>
        <v>0</v>
      </c>
      <c r="B52" s="1"/>
      <c r="C52" s="1"/>
      <c r="D52" s="1"/>
      <c r="E52" s="1"/>
      <c r="F52" s="1"/>
    </row>
    <row r="53" customFormat="false" ht="12.8" hidden="false" customHeight="false" outlineLevel="0" collapsed="false">
      <c r="A53" s="1" t="n">
        <f aca="false">(Sheet1!B31)</f>
        <v>56</v>
      </c>
      <c r="B53" s="1"/>
      <c r="C53" s="1"/>
      <c r="D53" s="1"/>
      <c r="E53" s="1"/>
      <c r="F53" s="1"/>
    </row>
    <row r="54" customFormat="false" ht="12.8" hidden="false" customHeight="false" outlineLevel="0" collapsed="false">
      <c r="A54" s="1" t="n">
        <f aca="false">(Sheet1!B32)</f>
        <v>0</v>
      </c>
      <c r="B54" s="1"/>
      <c r="C54" s="1"/>
      <c r="D54" s="1"/>
      <c r="E54" s="1"/>
      <c r="F54" s="1"/>
    </row>
    <row r="55" customFormat="false" ht="12.8" hidden="false" customHeight="false" outlineLevel="0" collapsed="false">
      <c r="A55" s="1" t="n">
        <f aca="false">(Sheet1!B36)</f>
        <v>91</v>
      </c>
      <c r="B55" s="1"/>
      <c r="C55" s="1"/>
      <c r="D55" s="1"/>
      <c r="E55" s="1"/>
      <c r="F55" s="1"/>
    </row>
    <row r="56" customFormat="false" ht="12.8" hidden="false" customHeight="false" outlineLevel="0" collapsed="false">
      <c r="A56" s="1" t="n">
        <f aca="false">(Sheet1!B41)</f>
        <v>35.2</v>
      </c>
      <c r="B56" s="1"/>
      <c r="C56" s="1"/>
      <c r="D56" s="1"/>
      <c r="E56" s="1"/>
      <c r="F56" s="1"/>
    </row>
    <row r="57" customFormat="false" ht="12.8" hidden="false" customHeight="false" outlineLevel="0" collapsed="false">
      <c r="A57" s="1" t="n">
        <f aca="false">(Sheet1!B47)</f>
        <v>43</v>
      </c>
      <c r="B57" s="1"/>
      <c r="C57" s="1"/>
      <c r="D57" s="1"/>
      <c r="E57" s="1"/>
      <c r="F57" s="1"/>
    </row>
    <row r="58" customFormat="false" ht="12.8" hidden="false" customHeight="false" outlineLevel="0" collapsed="false">
      <c r="A58" s="1" t="e">
        <f aca="false">(#REF!)</f>
        <v>#REF!</v>
      </c>
      <c r="B58" s="1"/>
      <c r="C58" s="1"/>
    </row>
    <row r="59" customFormat="false" ht="12.8" hidden="false" customHeight="false" outlineLevel="0" collapsed="false">
      <c r="A59" s="1" t="e">
        <f aca="false">(#REF!)</f>
        <v>#REF!</v>
      </c>
      <c r="B59" s="1"/>
      <c r="C59" s="1"/>
    </row>
    <row r="60" customFormat="false" ht="12.8" hidden="false" customHeight="false" outlineLevel="0" collapsed="false">
      <c r="A60" s="1" t="e">
        <f aca="false">(#REF!)</f>
        <v>#REF!</v>
      </c>
      <c r="B60" s="1"/>
      <c r="C60" s="1"/>
    </row>
    <row r="61" customFormat="false" ht="12.8" hidden="false" customHeight="false" outlineLevel="0" collapsed="false">
      <c r="A61" s="1"/>
    </row>
    <row r="62" customFormat="false" ht="12.8" hidden="false" customHeight="false" outlineLevel="0" collapsed="false">
      <c r="A62" s="1"/>
    </row>
    <row r="63" customFormat="false" ht="12.8" hidden="false" customHeight="false" outlineLevel="0" collapsed="false">
      <c r="A63" s="1"/>
    </row>
    <row r="64" customFormat="false" ht="12.8" hidden="false" customHeight="false" outlineLevel="0" collapsed="false">
      <c r="A64" s="1"/>
    </row>
    <row r="65" customFormat="false" ht="12.8" hidden="false" customHeight="false" outlineLevel="0" collapsed="false">
      <c r="A65" s="1"/>
    </row>
    <row r="66" customFormat="false" ht="12.8" hidden="false" customHeight="false" outlineLevel="0" collapsed="false">
      <c r="A66" s="1"/>
    </row>
    <row r="67" customFormat="false" ht="12.8" hidden="false" customHeight="false" outlineLevel="0" collapsed="false">
      <c r="A67" s="1"/>
    </row>
    <row r="68" customFormat="false" ht="12.8" hidden="false" customHeight="false" outlineLevel="0" collapsed="false">
      <c r="A68" s="1"/>
    </row>
    <row r="69" customFormat="false" ht="12.8" hidden="false" customHeight="false" outlineLevel="0" collapsed="false">
      <c r="A69" s="1"/>
    </row>
    <row r="70" customFormat="false" ht="12.8" hidden="false" customHeight="false" outlineLevel="0" collapsed="false">
      <c r="A70" s="1"/>
    </row>
    <row r="71" customFormat="false" ht="12.8" hidden="false" customHeight="false" outlineLevel="0" collapsed="false">
      <c r="A71" s="1"/>
    </row>
    <row r="72" customFormat="false" ht="12.8" hidden="false" customHeight="false" outlineLevel="0" collapsed="false">
      <c r="A72" s="1"/>
    </row>
    <row r="73" customFormat="false" ht="12.8" hidden="false" customHeight="false" outlineLevel="0" collapsed="false">
      <c r="A73" s="1"/>
    </row>
    <row r="74" customFormat="false" ht="12.8" hidden="false" customHeight="false" outlineLevel="0" collapsed="false">
      <c r="A74" s="1"/>
    </row>
    <row r="75" customFormat="false" ht="12.8" hidden="false" customHeight="false" outlineLevel="0" collapsed="false">
      <c r="A75" s="1"/>
    </row>
    <row r="76" customFormat="false" ht="12.8" hidden="false" customHeight="false" outlineLevel="0" collapsed="false">
      <c r="A76" s="1"/>
    </row>
    <row r="77" customFormat="false" ht="12.8" hidden="false" customHeight="false" outlineLevel="0" collapsed="false">
      <c r="A77" s="1"/>
    </row>
    <row r="78" customFormat="false" ht="12.8" hidden="false" customHeight="false" outlineLevel="0" collapsed="false">
      <c r="A78" s="1"/>
    </row>
    <row r="79" customFormat="false" ht="12.8" hidden="false" customHeight="false" outlineLevel="0" collapsed="false">
      <c r="A79" s="1"/>
    </row>
    <row r="80" customFormat="false" ht="12.8" hidden="false" customHeight="false" outlineLevel="0" collapsed="false">
      <c r="A80" s="1"/>
    </row>
    <row r="81" customFormat="false" ht="12.8" hidden="false" customHeight="false" outlineLevel="0" collapsed="false">
      <c r="A81" s="1"/>
    </row>
    <row r="82" customFormat="false" ht="12.8" hidden="false" customHeight="false" outlineLevel="0" collapsed="false">
      <c r="A82" s="1"/>
    </row>
    <row r="83" customFormat="false" ht="12.8" hidden="false" customHeight="false" outlineLevel="0" collapsed="false">
      <c r="A83" s="1"/>
    </row>
    <row r="84" customFormat="false" ht="12.8" hidden="false" customHeight="false" outlineLevel="0" collapsed="false">
      <c r="A84" s="1"/>
    </row>
    <row r="85" customFormat="false" ht="12.8" hidden="false" customHeight="false" outlineLevel="0" collapsed="false">
      <c r="A85" s="1"/>
    </row>
    <row r="86" customFormat="false" ht="12.8" hidden="false" customHeight="false" outlineLevel="0" collapsed="false">
      <c r="A86" s="1"/>
    </row>
    <row r="87" customFormat="false" ht="12.8" hidden="false" customHeight="false" outlineLevel="0" collapsed="false">
      <c r="A87" s="1"/>
    </row>
    <row r="88" customFormat="false" ht="12.8" hidden="false" customHeight="false" outlineLevel="0" collapsed="false">
      <c r="A88" s="1"/>
    </row>
    <row r="89" customFormat="false" ht="12.8" hidden="false" customHeight="false" outlineLevel="0" collapsed="false">
      <c r="A89" s="1"/>
    </row>
    <row r="90" customFormat="false" ht="12.8" hidden="false" customHeight="false" outlineLevel="0" collapsed="false">
      <c r="A90" s="1"/>
    </row>
    <row r="91" customFormat="false" ht="12.8" hidden="false" customHeight="false" outlineLevel="0" collapsed="false">
      <c r="A91" s="1"/>
    </row>
    <row r="92" customFormat="false" ht="12.8" hidden="false" customHeight="false" outlineLevel="0" collapsed="false">
      <c r="A92" s="1"/>
    </row>
    <row r="93" customFormat="false" ht="12.8" hidden="false" customHeight="false" outlineLevel="0" collapsed="false">
      <c r="A93" s="1"/>
    </row>
    <row r="94" customFormat="false" ht="12.8" hidden="false" customHeight="false" outlineLevel="0" collapsed="false">
      <c r="A94" s="1"/>
    </row>
    <row r="95" customFormat="false" ht="12.8" hidden="false" customHeight="false" outlineLevel="0" collapsed="false">
      <c r="A95" s="1"/>
    </row>
    <row r="96" customFormat="false" ht="12.8" hidden="false" customHeight="false" outlineLevel="0" collapsed="false">
      <c r="A96" s="1"/>
    </row>
    <row r="97" customFormat="false" ht="12.8" hidden="false" customHeight="false" outlineLevel="0" collapsed="false">
      <c r="A97" s="1"/>
    </row>
    <row r="98" customFormat="false" ht="12.8" hidden="false" customHeight="false" outlineLevel="0" collapsed="false">
      <c r="A98" s="1"/>
    </row>
    <row r="99" customFormat="false" ht="12.8" hidden="false" customHeight="false" outlineLevel="0" collapsed="false">
      <c r="A99" s="1"/>
    </row>
    <row r="100" customFormat="false" ht="12.8" hidden="false" customHeight="false" outlineLevel="0" collapsed="false">
      <c r="A100" s="1"/>
    </row>
    <row r="101" customFormat="false" ht="12.8" hidden="false" customHeight="false" outlineLevel="0" collapsed="false">
      <c r="A101" s="1"/>
    </row>
    <row r="102" customFormat="false" ht="12.8" hidden="false" customHeight="false" outlineLevel="0" collapsed="false">
      <c r="A102" s="1"/>
    </row>
    <row r="103" customFormat="false" ht="12.8" hidden="false" customHeight="false" outlineLevel="0" collapsed="false">
      <c r="A10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21" activeCellId="0" sqref="A2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10</v>
      </c>
      <c r="B1" s="1" t="s">
        <v>11</v>
      </c>
      <c r="C1" s="1" t="s">
        <v>12</v>
      </c>
    </row>
    <row r="2" customFormat="false" ht="12.8" hidden="false" customHeight="false" outlineLevel="0" collapsed="false">
      <c r="A2" s="1" t="n">
        <v>0.95</v>
      </c>
      <c r="B2" s="1" t="n">
        <v>1</v>
      </c>
      <c r="C2" s="1" t="n">
        <v>31</v>
      </c>
    </row>
    <row r="3" customFormat="false" ht="12.8" hidden="false" customHeight="false" outlineLevel="0" collapsed="false">
      <c r="A3" s="1" t="n">
        <v>0.9</v>
      </c>
      <c r="B3" s="1" t="n">
        <v>0.95</v>
      </c>
      <c r="C3" s="1" t="n">
        <f aca="false">(C2 -1)</f>
        <v>30</v>
      </c>
    </row>
    <row r="4" customFormat="false" ht="12.8" hidden="false" customHeight="false" outlineLevel="0" collapsed="false">
      <c r="A4" s="1" t="n">
        <v>0.85</v>
      </c>
      <c r="B4" s="1" t="n">
        <v>0.9</v>
      </c>
      <c r="C4" s="1" t="n">
        <f aca="false">(C3 -1)</f>
        <v>29</v>
      </c>
    </row>
    <row r="5" customFormat="false" ht="12.8" hidden="false" customHeight="false" outlineLevel="0" collapsed="false">
      <c r="A5" s="1" t="n">
        <v>0.8</v>
      </c>
      <c r="B5" s="1" t="n">
        <v>0.85</v>
      </c>
      <c r="C5" s="1" t="n">
        <f aca="false">(C4 -1)</f>
        <v>28</v>
      </c>
    </row>
    <row r="6" customFormat="false" ht="12.8" hidden="false" customHeight="false" outlineLevel="0" collapsed="false">
      <c r="A6" s="1" t="n">
        <v>0.75</v>
      </c>
      <c r="B6" s="1" t="n">
        <v>0.8</v>
      </c>
      <c r="C6" s="1" t="n">
        <f aca="false">(C5 -1)</f>
        <v>27</v>
      </c>
    </row>
    <row r="7" customFormat="false" ht="12.8" hidden="false" customHeight="false" outlineLevel="0" collapsed="false">
      <c r="A7" s="1" t="n">
        <v>0.7</v>
      </c>
      <c r="B7" s="1" t="n">
        <v>0.75</v>
      </c>
      <c r="C7" s="1" t="n">
        <f aca="false">(C6 -1)</f>
        <v>26</v>
      </c>
    </row>
    <row r="8" customFormat="false" ht="12.8" hidden="false" customHeight="false" outlineLevel="0" collapsed="false">
      <c r="A8" s="1" t="n">
        <v>0.65</v>
      </c>
      <c r="B8" s="1" t="n">
        <v>0.7</v>
      </c>
      <c r="C8" s="1" t="n">
        <f aca="false">(C7 -1)</f>
        <v>25</v>
      </c>
    </row>
    <row r="9" customFormat="false" ht="12.8" hidden="false" customHeight="false" outlineLevel="0" collapsed="false">
      <c r="A9" s="1" t="n">
        <v>0.6</v>
      </c>
      <c r="B9" s="1" t="n">
        <v>0.65</v>
      </c>
      <c r="C9" s="1" t="n">
        <f aca="false">(C8 -1)</f>
        <v>24</v>
      </c>
    </row>
    <row r="10" customFormat="false" ht="12.8" hidden="false" customHeight="false" outlineLevel="0" collapsed="false">
      <c r="A10" s="1" t="n">
        <v>0.55</v>
      </c>
      <c r="B10" s="1" t="n">
        <v>0.6</v>
      </c>
      <c r="C10" s="1" t="n">
        <f aca="false">(C9 -1)</f>
        <v>23</v>
      </c>
    </row>
    <row r="11" customFormat="false" ht="12.8" hidden="false" customHeight="false" outlineLevel="0" collapsed="false">
      <c r="A11" s="1" t="n">
        <v>0.5</v>
      </c>
      <c r="B11" s="1" t="n">
        <v>0.55</v>
      </c>
      <c r="C11" s="1" t="n">
        <f aca="false">(C10 -1)</f>
        <v>22</v>
      </c>
    </row>
    <row r="12" customFormat="false" ht="12.8" hidden="false" customHeight="false" outlineLevel="0" collapsed="false">
      <c r="A12" s="1" t="n">
        <v>0.45</v>
      </c>
      <c r="B12" s="1" t="n">
        <v>0.5</v>
      </c>
      <c r="C12" s="1" t="n">
        <f aca="false">(C11 -1)</f>
        <v>21</v>
      </c>
    </row>
    <row r="13" customFormat="false" ht="12.8" hidden="false" customHeight="false" outlineLevel="0" collapsed="false">
      <c r="A13" s="1" t="n">
        <v>0.4</v>
      </c>
      <c r="B13" s="1" t="n">
        <v>0.45</v>
      </c>
      <c r="C13" s="1" t="n">
        <f aca="false">(C12 -1)</f>
        <v>20</v>
      </c>
    </row>
    <row r="14" customFormat="false" ht="12.8" hidden="false" customHeight="false" outlineLevel="0" collapsed="false">
      <c r="A14" s="1" t="n">
        <v>0.35</v>
      </c>
      <c r="B14" s="1" t="n">
        <v>0.4</v>
      </c>
      <c r="C14" s="1" t="n">
        <f aca="false">(C13 -1)</f>
        <v>19</v>
      </c>
    </row>
    <row r="15" customFormat="false" ht="12.8" hidden="false" customHeight="false" outlineLevel="0" collapsed="false">
      <c r="A15" s="1" t="n">
        <v>0.3</v>
      </c>
      <c r="B15" s="1" t="n">
        <v>0.35</v>
      </c>
      <c r="C15" s="1" t="n">
        <f aca="false">(C14 -1)</f>
        <v>18</v>
      </c>
    </row>
    <row r="16" customFormat="false" ht="12.8" hidden="false" customHeight="false" outlineLevel="0" collapsed="false">
      <c r="A16" s="1" t="n">
        <v>0</v>
      </c>
      <c r="B16" s="1" t="n">
        <v>0.3</v>
      </c>
      <c r="C1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1" activeCellId="0" sqref="B1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11.19"/>
    <col collapsed="false" customWidth="true" hidden="false" outlineLevel="0" max="2" min="2" style="1" width="8.9"/>
  </cols>
  <sheetData>
    <row r="1" customFormat="false" ht="12.8" hidden="false" customHeight="false" outlineLevel="0" collapsed="false">
      <c r="A1" s="5"/>
      <c r="B1" s="5"/>
    </row>
    <row r="2" customFormat="false" ht="12.8" hidden="false" customHeight="false" outlineLevel="0" collapsed="false">
      <c r="A2" s="5" t="s">
        <v>6</v>
      </c>
      <c r="B2" s="5" t="s">
        <v>7</v>
      </c>
    </row>
    <row r="3" customFormat="false" ht="12.8" hidden="false" customHeight="false" outlineLevel="0" collapsed="false">
      <c r="A3" s="14" t="n">
        <v>2046542</v>
      </c>
      <c r="B3" s="1" t="n">
        <v>20</v>
      </c>
    </row>
    <row r="4" customFormat="false" ht="12.8" hidden="false" customHeight="false" outlineLevel="0" collapsed="false">
      <c r="A4" s="14" t="n">
        <v>2041850</v>
      </c>
      <c r="B4" s="1" t="n">
        <v>100</v>
      </c>
    </row>
    <row r="5" customFormat="false" ht="12.8" hidden="false" customHeight="false" outlineLevel="0" collapsed="false">
      <c r="A5" s="14" t="n">
        <v>2083154</v>
      </c>
      <c r="B5" s="1" t="n">
        <v>100</v>
      </c>
    </row>
    <row r="6" customFormat="false" ht="12.8" hidden="false" customHeight="false" outlineLevel="0" collapsed="false">
      <c r="A6" s="14" t="n">
        <v>1760206</v>
      </c>
      <c r="B6" s="1" t="n">
        <v>22</v>
      </c>
    </row>
    <row r="7" customFormat="false" ht="12.8" hidden="false" customHeight="false" outlineLevel="0" collapsed="false">
      <c r="A7" s="14" t="n">
        <v>2047604</v>
      </c>
      <c r="B7" s="1" t="n">
        <v>64</v>
      </c>
    </row>
    <row r="8" customFormat="false" ht="12.8" hidden="false" customHeight="false" outlineLevel="0" collapsed="false">
      <c r="A8" s="14" t="n">
        <v>2045899</v>
      </c>
      <c r="B8" s="1" t="n">
        <v>20</v>
      </c>
    </row>
    <row r="9" customFormat="false" ht="12.8" hidden="false" customHeight="false" outlineLevel="0" collapsed="false">
      <c r="A9" s="14" t="n">
        <v>1810132</v>
      </c>
      <c r="B9" s="1" t="n">
        <v>0</v>
      </c>
    </row>
    <row r="10" customFormat="false" ht="12.8" hidden="false" customHeight="false" outlineLevel="0" collapsed="false">
      <c r="A10" s="14" t="n">
        <v>2047145</v>
      </c>
      <c r="B10" s="1" t="n">
        <v>44</v>
      </c>
    </row>
    <row r="11" customFormat="false" ht="12.8" hidden="false" customHeight="false" outlineLevel="0" collapsed="false">
      <c r="A11" s="14" t="n">
        <v>2015518</v>
      </c>
      <c r="B11" s="1" t="n">
        <v>10</v>
      </c>
    </row>
    <row r="12" customFormat="false" ht="12.8" hidden="false" customHeight="false" outlineLevel="0" collapsed="false">
      <c r="A12" s="14" t="n">
        <v>2050059</v>
      </c>
      <c r="B12" s="1" t="n">
        <v>82</v>
      </c>
    </row>
    <row r="13" customFormat="false" ht="12.8" hidden="false" customHeight="false" outlineLevel="0" collapsed="false">
      <c r="A13" s="14" t="n">
        <v>2066344</v>
      </c>
      <c r="B13" s="1" t="n">
        <v>0</v>
      </c>
    </row>
    <row r="14" customFormat="false" ht="12.8" hidden="false" customHeight="false" outlineLevel="0" collapsed="false">
      <c r="A14" s="14" t="n">
        <v>1888625</v>
      </c>
      <c r="B14" s="1" t="n">
        <v>54</v>
      </c>
    </row>
    <row r="15" customFormat="false" ht="12.8" hidden="false" customHeight="false" outlineLevel="0" collapsed="false">
      <c r="A15" s="14" t="n">
        <v>1771849</v>
      </c>
      <c r="B15" s="1" t="n">
        <v>42</v>
      </c>
    </row>
    <row r="16" customFormat="false" ht="12.8" hidden="false" customHeight="false" outlineLevel="0" collapsed="false">
      <c r="A16" s="14" t="n">
        <v>2058986</v>
      </c>
      <c r="B16" s="1" t="n">
        <v>10</v>
      </c>
    </row>
    <row r="17" customFormat="false" ht="12.8" hidden="false" customHeight="false" outlineLevel="0" collapsed="false">
      <c r="A17" s="14" t="n">
        <v>2059802</v>
      </c>
      <c r="B17" s="1" t="n">
        <v>4</v>
      </c>
    </row>
    <row r="18" customFormat="false" ht="12.8" hidden="false" customHeight="false" outlineLevel="0" collapsed="false">
      <c r="A18" s="14" t="n">
        <v>2062810</v>
      </c>
      <c r="B18" s="1" t="n">
        <v>62</v>
      </c>
    </row>
    <row r="19" customFormat="false" ht="12.8" hidden="false" customHeight="false" outlineLevel="0" collapsed="false">
      <c r="A19" s="14" t="n">
        <v>2045928</v>
      </c>
      <c r="B19" s="1" t="n">
        <v>84</v>
      </c>
    </row>
    <row r="20" customFormat="false" ht="12.8" hidden="false" customHeight="false" outlineLevel="0" collapsed="false">
      <c r="A20" s="14" t="n">
        <v>2066523</v>
      </c>
      <c r="B20" s="1" t="n">
        <v>46</v>
      </c>
    </row>
    <row r="21" customFormat="false" ht="12.8" hidden="false" customHeight="false" outlineLevel="0" collapsed="false">
      <c r="A21" s="14" t="n">
        <v>2063098</v>
      </c>
      <c r="B21" s="1" t="n">
        <v>0</v>
      </c>
    </row>
    <row r="22" customFormat="false" ht="12.8" hidden="false" customHeight="false" outlineLevel="0" collapsed="false">
      <c r="A22" s="14" t="n">
        <v>2060085</v>
      </c>
      <c r="B22" s="1" t="n">
        <v>2</v>
      </c>
    </row>
    <row r="23" customFormat="false" ht="12.8" hidden="false" customHeight="false" outlineLevel="0" collapsed="false">
      <c r="A23" s="14" t="n">
        <v>2046475</v>
      </c>
      <c r="B23" s="1" t="n">
        <v>60</v>
      </c>
    </row>
    <row r="24" customFormat="false" ht="12.8" hidden="false" customHeight="false" outlineLevel="0" collapsed="false">
      <c r="A24" s="14" t="n">
        <v>1986385</v>
      </c>
      <c r="B24" s="1" t="n">
        <v>48</v>
      </c>
    </row>
    <row r="25" customFormat="false" ht="12.8" hidden="false" customHeight="false" outlineLevel="0" collapsed="false">
      <c r="A25" s="14" t="n">
        <v>2046000</v>
      </c>
      <c r="B25" s="1" t="n">
        <v>10.8</v>
      </c>
    </row>
    <row r="26" customFormat="false" ht="12.8" hidden="false" customHeight="false" outlineLevel="0" collapsed="false">
      <c r="A26" s="14" t="n">
        <v>2060573</v>
      </c>
      <c r="B26" s="1" t="n">
        <v>44</v>
      </c>
    </row>
    <row r="27" customFormat="false" ht="12.8" hidden="false" customHeight="false" outlineLevel="0" collapsed="false">
      <c r="A27" s="14" t="n">
        <v>204432</v>
      </c>
      <c r="B27" s="1" t="n">
        <v>0</v>
      </c>
    </row>
    <row r="28" customFormat="false" ht="12.8" hidden="false" customHeight="false" outlineLevel="0" collapsed="false">
      <c r="A28" s="14" t="n">
        <v>2045982</v>
      </c>
      <c r="B28" s="1" t="n">
        <v>24</v>
      </c>
    </row>
    <row r="29" customFormat="false" ht="12.8" hidden="false" customHeight="false" outlineLevel="0" collapsed="false">
      <c r="A29" s="14" t="n">
        <v>1994583</v>
      </c>
      <c r="B29" s="1" t="n">
        <v>18</v>
      </c>
    </row>
    <row r="30" customFormat="false" ht="12.8" hidden="false" customHeight="false" outlineLevel="0" collapsed="false">
      <c r="A30" s="14" t="n">
        <v>2046212</v>
      </c>
      <c r="B30" s="1" t="n">
        <v>20</v>
      </c>
    </row>
    <row r="31" customFormat="false" ht="12.8" hidden="false" customHeight="false" outlineLevel="0" collapsed="false">
      <c r="A31" s="14" t="n">
        <v>2182157</v>
      </c>
      <c r="B31" s="1" t="n">
        <v>22</v>
      </c>
    </row>
    <row r="32" customFormat="false" ht="12.8" hidden="false" customHeight="false" outlineLevel="0" collapsed="false">
      <c r="A32" s="14" t="n">
        <v>2009650</v>
      </c>
      <c r="B32" s="1" t="n">
        <v>4</v>
      </c>
    </row>
    <row r="33" customFormat="false" ht="12.8" hidden="false" customHeight="false" outlineLevel="0" collapsed="false">
      <c r="A33" s="14" t="n">
        <v>2046234</v>
      </c>
      <c r="B33" s="1" t="n">
        <v>26</v>
      </c>
    </row>
    <row r="34" customFormat="false" ht="12.8" hidden="false" customHeight="false" outlineLevel="0" collapsed="false">
      <c r="A34" s="14" t="n">
        <v>2086047</v>
      </c>
      <c r="B34" s="1" t="n">
        <v>8</v>
      </c>
    </row>
    <row r="35" customFormat="false" ht="12.8" hidden="false" customHeight="false" outlineLevel="0" collapsed="false">
      <c r="A35" s="14" t="n">
        <v>2043878</v>
      </c>
      <c r="B35" s="1" t="n">
        <v>92</v>
      </c>
    </row>
    <row r="36" customFormat="false" ht="12.8" hidden="false" customHeight="false" outlineLevel="0" collapsed="false">
      <c r="A36" s="14" t="n">
        <v>2025352</v>
      </c>
      <c r="B36" s="1" t="n">
        <v>60</v>
      </c>
    </row>
    <row r="37" customFormat="false" ht="12.8" hidden="false" customHeight="false" outlineLevel="0" collapsed="false">
      <c r="A37" s="14" t="n">
        <v>1895077</v>
      </c>
      <c r="B37" s="1" t="n">
        <v>34</v>
      </c>
    </row>
    <row r="38" customFormat="false" ht="12.8" hidden="false" customHeight="false" outlineLevel="0" collapsed="false">
      <c r="A38" s="14" t="n">
        <v>2042904</v>
      </c>
      <c r="B38" s="1" t="n">
        <v>28</v>
      </c>
    </row>
    <row r="39" customFormat="false" ht="12.8" hidden="false" customHeight="false" outlineLevel="0" collapsed="false">
      <c r="A39" s="14" t="n">
        <v>2046501</v>
      </c>
      <c r="B39" s="1" t="n">
        <v>28</v>
      </c>
    </row>
    <row r="40" customFormat="false" ht="12.8" hidden="false" customHeight="false" outlineLevel="0" collapsed="false">
      <c r="A40" s="14" t="n">
        <v>2083011</v>
      </c>
      <c r="B40" s="1" t="n">
        <v>14</v>
      </c>
    </row>
    <row r="41" customFormat="false" ht="12.8" hidden="false" customHeight="false" outlineLevel="0" collapsed="false">
      <c r="A41" s="14" t="n">
        <v>2034930</v>
      </c>
      <c r="B41" s="1" t="n">
        <v>0</v>
      </c>
    </row>
    <row r="42" customFormat="false" ht="12.8" hidden="false" customHeight="false" outlineLevel="0" collapsed="false">
      <c r="A42" s="14" t="n">
        <v>2061343</v>
      </c>
      <c r="B42" s="1" t="n">
        <v>22</v>
      </c>
    </row>
    <row r="43" customFormat="false" ht="12.8" hidden="false" customHeight="false" outlineLevel="0" collapsed="false">
      <c r="A43" s="14" t="n">
        <v>2052800</v>
      </c>
      <c r="B43" s="1" t="n">
        <v>76</v>
      </c>
    </row>
    <row r="44" customFormat="false" ht="12.8" hidden="false" customHeight="false" outlineLevel="0" collapsed="false">
      <c r="A44" s="14" t="n">
        <v>1884714</v>
      </c>
      <c r="B44" s="1" t="n">
        <v>10</v>
      </c>
    </row>
    <row r="45" customFormat="false" ht="12.8" hidden="false" customHeight="false" outlineLevel="0" collapsed="false">
      <c r="A45" s="14" t="n">
        <v>1884742</v>
      </c>
      <c r="B45" s="1" t="n">
        <v>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6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6" activeCellId="0" sqref="C16"/>
    </sheetView>
  </sheetViews>
  <sheetFormatPr defaultColWidth="11.5703125" defaultRowHeight="12.8" zeroHeight="false" outlineLevelRow="0" outlineLevelCol="0"/>
  <sheetData>
    <row r="2" customFormat="false" ht="12.8" hidden="false" customHeight="false" outlineLevel="0" collapsed="false">
      <c r="A2" s="1" t="s">
        <v>6</v>
      </c>
      <c r="B2" s="1" t="s">
        <v>7</v>
      </c>
    </row>
    <row r="3" customFormat="false" ht="12.8" hidden="false" customHeight="false" outlineLevel="0" collapsed="false">
      <c r="A3" s="1" t="n">
        <v>2068261</v>
      </c>
      <c r="B3" s="1" t="n">
        <v>0</v>
      </c>
    </row>
    <row r="4" customFormat="false" ht="12.8" hidden="false" customHeight="false" outlineLevel="0" collapsed="false">
      <c r="A4" s="1" t="n">
        <v>2045899</v>
      </c>
      <c r="B4" s="1" t="n">
        <v>12</v>
      </c>
    </row>
    <row r="5" customFormat="false" ht="12.8" hidden="false" customHeight="false" outlineLevel="0" collapsed="false">
      <c r="A5" s="1" t="n">
        <v>1948382</v>
      </c>
      <c r="B5" s="1" t="n">
        <v>56</v>
      </c>
    </row>
    <row r="6" customFormat="false" ht="12.8" hidden="false" customHeight="false" outlineLevel="0" collapsed="false">
      <c r="A6" s="1" t="n">
        <v>2047145</v>
      </c>
      <c r="B6" s="1" t="n">
        <v>88</v>
      </c>
    </row>
    <row r="7" customFormat="false" ht="12.8" hidden="false" customHeight="false" outlineLevel="0" collapsed="false">
      <c r="A7" s="1" t="n">
        <v>2045204</v>
      </c>
      <c r="B7" s="1" t="n">
        <v>72</v>
      </c>
    </row>
    <row r="8" customFormat="false" ht="12.8" hidden="false" customHeight="false" outlineLevel="0" collapsed="false">
      <c r="A8" s="1" t="n">
        <v>2015518</v>
      </c>
      <c r="B8" s="1" t="n">
        <v>20</v>
      </c>
    </row>
    <row r="9" customFormat="false" ht="12.8" hidden="false" customHeight="false" outlineLevel="0" collapsed="false">
      <c r="A9" s="1" t="n">
        <v>1991139</v>
      </c>
      <c r="B9" s="1" t="n">
        <v>36</v>
      </c>
    </row>
    <row r="10" customFormat="false" ht="12.8" hidden="false" customHeight="false" outlineLevel="0" collapsed="false">
      <c r="A10" s="1" t="n">
        <v>1933763</v>
      </c>
      <c r="B10" s="1" t="n">
        <v>0</v>
      </c>
    </row>
    <row r="11" customFormat="false" ht="12.8" hidden="false" customHeight="false" outlineLevel="0" collapsed="false">
      <c r="A11" s="1" t="n">
        <v>1894899</v>
      </c>
      <c r="B11" s="1" t="n">
        <v>8</v>
      </c>
    </row>
    <row r="12" customFormat="false" ht="12.8" hidden="false" customHeight="false" outlineLevel="0" collapsed="false">
      <c r="A12" s="1" t="n">
        <v>2087530</v>
      </c>
      <c r="B12" s="1" t="n">
        <v>28</v>
      </c>
    </row>
    <row r="13" customFormat="false" ht="12.8" hidden="false" customHeight="false" outlineLevel="0" collapsed="false">
      <c r="A13" s="1" t="n">
        <v>2049029</v>
      </c>
      <c r="B13" s="1" t="n">
        <v>10</v>
      </c>
    </row>
    <row r="14" customFormat="false" ht="12.8" hidden="false" customHeight="false" outlineLevel="0" collapsed="false">
      <c r="A14" s="1" t="n">
        <v>2059802</v>
      </c>
      <c r="B14" s="1" t="n">
        <v>0</v>
      </c>
    </row>
    <row r="15" customFormat="false" ht="12.8" hidden="false" customHeight="false" outlineLevel="0" collapsed="false">
      <c r="A15" s="1" t="n">
        <v>2061657</v>
      </c>
      <c r="B15" s="1" t="n">
        <v>40</v>
      </c>
    </row>
    <row r="16" customFormat="false" ht="12.8" hidden="false" customHeight="false" outlineLevel="0" collapsed="false">
      <c r="A16" s="1" t="n">
        <v>2045337</v>
      </c>
      <c r="B16" s="1" t="n">
        <v>72</v>
      </c>
    </row>
    <row r="17" customFormat="false" ht="12.8" hidden="false" customHeight="false" outlineLevel="0" collapsed="false">
      <c r="A17" s="1" t="n">
        <v>2086686</v>
      </c>
      <c r="B17" s="1" t="n">
        <v>28</v>
      </c>
    </row>
    <row r="18" customFormat="false" ht="12.8" hidden="false" customHeight="false" outlineLevel="0" collapsed="false">
      <c r="A18" s="1" t="n">
        <v>2085129</v>
      </c>
      <c r="B18" s="1" t="n">
        <v>0</v>
      </c>
    </row>
    <row r="19" customFormat="false" ht="12.8" hidden="false" customHeight="false" outlineLevel="0" collapsed="false">
      <c r="A19" s="1" t="n">
        <v>2010731</v>
      </c>
      <c r="B19" s="1" t="n">
        <v>20</v>
      </c>
    </row>
    <row r="20" customFormat="false" ht="12.8" hidden="false" customHeight="false" outlineLevel="0" collapsed="false">
      <c r="A20" s="1" t="n">
        <v>2067188</v>
      </c>
      <c r="B20" s="1" t="n">
        <v>64</v>
      </c>
    </row>
    <row r="21" customFormat="false" ht="12.8" hidden="false" customHeight="false" outlineLevel="0" collapsed="false">
      <c r="A21" s="1" t="n">
        <v>2063098</v>
      </c>
      <c r="B21" s="1" t="n">
        <v>20</v>
      </c>
    </row>
    <row r="22" customFormat="false" ht="12.8" hidden="false" customHeight="false" outlineLevel="0" collapsed="false">
      <c r="A22" s="1" t="n">
        <v>2059337</v>
      </c>
      <c r="B22" s="1" t="n">
        <v>20</v>
      </c>
    </row>
    <row r="23" customFormat="false" ht="12.8" hidden="false" customHeight="false" outlineLevel="0" collapsed="false">
      <c r="A23" s="1" t="n">
        <v>1933070</v>
      </c>
      <c r="B23" s="1" t="n">
        <v>16</v>
      </c>
    </row>
    <row r="24" customFormat="false" ht="12.8" hidden="false" customHeight="false" outlineLevel="0" collapsed="false">
      <c r="A24" s="1" t="n">
        <v>1943337</v>
      </c>
      <c r="B24" s="1" t="n">
        <v>0</v>
      </c>
    </row>
    <row r="25" customFormat="false" ht="12.8" hidden="false" customHeight="false" outlineLevel="0" collapsed="false">
      <c r="A25" s="1" t="n">
        <v>2006305</v>
      </c>
      <c r="B25" s="1" t="n">
        <v>60</v>
      </c>
    </row>
    <row r="26" customFormat="false" ht="12.8" hidden="false" customHeight="false" outlineLevel="0" collapsed="false">
      <c r="A26" s="1" t="n">
        <v>2044147</v>
      </c>
      <c r="B26" s="1" t="n">
        <v>16</v>
      </c>
    </row>
    <row r="27" customFormat="false" ht="12.8" hidden="false" customHeight="false" outlineLevel="0" collapsed="false">
      <c r="A27" s="1" t="n">
        <v>1944917</v>
      </c>
      <c r="B27" s="1" t="n">
        <v>20</v>
      </c>
    </row>
    <row r="28" customFormat="false" ht="12.8" hidden="false" customHeight="false" outlineLevel="0" collapsed="false">
      <c r="A28" s="1" t="n">
        <v>1996623</v>
      </c>
      <c r="B28" s="1" t="n">
        <v>16</v>
      </c>
    </row>
    <row r="29" customFormat="false" ht="12.8" hidden="false" customHeight="false" outlineLevel="0" collapsed="false">
      <c r="A29" s="1" t="n">
        <v>2047034</v>
      </c>
      <c r="B29" s="1" t="n">
        <v>48</v>
      </c>
    </row>
    <row r="30" customFormat="false" ht="12.8" hidden="false" customHeight="false" outlineLevel="0" collapsed="false">
      <c r="A30" s="1" t="n">
        <v>2058986</v>
      </c>
      <c r="B30" s="1" t="n">
        <v>60</v>
      </c>
    </row>
    <row r="31" customFormat="false" ht="12.8" hidden="false" customHeight="false" outlineLevel="0" collapsed="false">
      <c r="A31" s="1" t="n">
        <v>2060444</v>
      </c>
      <c r="B31" s="1" t="n">
        <v>0</v>
      </c>
    </row>
    <row r="32" customFormat="false" ht="12.8" hidden="false" customHeight="false" outlineLevel="0" collapsed="false">
      <c r="A32" s="1" t="n">
        <v>2070317</v>
      </c>
      <c r="B32" s="1" t="n">
        <v>0</v>
      </c>
    </row>
    <row r="33" customFormat="false" ht="12.8" hidden="false" customHeight="false" outlineLevel="0" collapsed="false">
      <c r="A33" s="1" t="n">
        <v>2046738</v>
      </c>
      <c r="B33" s="1" t="n">
        <v>8</v>
      </c>
    </row>
    <row r="34" customFormat="false" ht="12.8" hidden="false" customHeight="false" outlineLevel="0" collapsed="false">
      <c r="A34" s="1" t="n">
        <v>2046000</v>
      </c>
      <c r="B34" s="1" t="n">
        <v>20</v>
      </c>
    </row>
    <row r="35" customFormat="false" ht="12.8" hidden="false" customHeight="false" outlineLevel="0" collapsed="false">
      <c r="A35" s="1" t="n">
        <v>2043415</v>
      </c>
      <c r="B35" s="1" t="n">
        <v>24</v>
      </c>
    </row>
    <row r="36" customFormat="false" ht="12.8" hidden="false" customHeight="false" outlineLevel="0" collapsed="false">
      <c r="A36" s="1" t="n">
        <v>2043364</v>
      </c>
      <c r="B36" s="1" t="n">
        <v>0</v>
      </c>
    </row>
    <row r="37" customFormat="false" ht="12.8" hidden="false" customHeight="false" outlineLevel="0" collapsed="false">
      <c r="A37" s="1" t="n">
        <v>2044032</v>
      </c>
      <c r="B37" s="1" t="n">
        <v>36</v>
      </c>
    </row>
    <row r="38" customFormat="false" ht="12.8" hidden="false" customHeight="false" outlineLevel="0" collapsed="false">
      <c r="A38" s="1" t="n">
        <v>2009905</v>
      </c>
      <c r="B38" s="1" t="n">
        <v>36</v>
      </c>
    </row>
    <row r="39" customFormat="false" ht="12.8" hidden="false" customHeight="false" outlineLevel="0" collapsed="false">
      <c r="A39" s="1" t="n">
        <v>2069217</v>
      </c>
      <c r="B39" s="1" t="n">
        <v>40</v>
      </c>
    </row>
    <row r="40" customFormat="false" ht="12.8" hidden="false" customHeight="false" outlineLevel="0" collapsed="false">
      <c r="A40" s="1" t="n">
        <v>1994583</v>
      </c>
      <c r="B40" s="1" t="n">
        <v>44</v>
      </c>
    </row>
    <row r="41" customFormat="false" ht="12.8" hidden="false" customHeight="false" outlineLevel="0" collapsed="false">
      <c r="A41" s="1" t="n">
        <v>2025557</v>
      </c>
      <c r="B41" s="1" t="n">
        <v>0</v>
      </c>
    </row>
    <row r="42" customFormat="false" ht="12.8" hidden="false" customHeight="false" outlineLevel="0" collapsed="false">
      <c r="A42" s="1" t="n">
        <v>2048130</v>
      </c>
      <c r="B42" s="1" t="n">
        <v>32</v>
      </c>
    </row>
    <row r="43" customFormat="false" ht="12.8" hidden="false" customHeight="false" outlineLevel="0" collapsed="false">
      <c r="A43" s="1" t="n">
        <v>1987495</v>
      </c>
      <c r="B43" s="1" t="n">
        <v>4</v>
      </c>
    </row>
    <row r="44" customFormat="false" ht="12.8" hidden="false" customHeight="false" outlineLevel="0" collapsed="false">
      <c r="A44" s="1" t="n">
        <v>2087310</v>
      </c>
      <c r="B44" s="1" t="n">
        <v>8</v>
      </c>
    </row>
    <row r="45" customFormat="false" ht="12.8" hidden="false" customHeight="false" outlineLevel="0" collapsed="false">
      <c r="A45" s="1" t="n">
        <v>1919026</v>
      </c>
      <c r="B45" s="1" t="n">
        <v>60</v>
      </c>
    </row>
    <row r="46" customFormat="false" ht="12.8" hidden="false" customHeight="false" outlineLevel="0" collapsed="false">
      <c r="A46" s="1" t="n">
        <v>2086047</v>
      </c>
      <c r="B46" s="1" t="n">
        <v>76</v>
      </c>
    </row>
    <row r="47" customFormat="false" ht="12.8" hidden="false" customHeight="false" outlineLevel="0" collapsed="false">
      <c r="A47" s="1" t="n">
        <v>2087359</v>
      </c>
      <c r="B47" s="1" t="n">
        <v>0</v>
      </c>
    </row>
    <row r="48" customFormat="false" ht="12.8" hidden="false" customHeight="false" outlineLevel="0" collapsed="false">
      <c r="A48" s="1" t="n">
        <v>2068434</v>
      </c>
      <c r="B48" s="1" t="n">
        <v>24</v>
      </c>
    </row>
    <row r="49" customFormat="false" ht="12.8" hidden="false" customHeight="false" outlineLevel="0" collapsed="false">
      <c r="A49" s="1" t="n">
        <v>2046758</v>
      </c>
      <c r="B49" s="1" t="n">
        <v>56</v>
      </c>
    </row>
    <row r="50" customFormat="false" ht="12.8" hidden="false" customHeight="false" outlineLevel="0" collapsed="false">
      <c r="A50" s="1" t="n">
        <v>1857898</v>
      </c>
      <c r="B50" s="1" t="n">
        <v>16</v>
      </c>
    </row>
    <row r="51" customFormat="false" ht="12.8" hidden="false" customHeight="false" outlineLevel="0" collapsed="false">
      <c r="A51" s="1" t="n">
        <v>2051659</v>
      </c>
      <c r="B51" s="1" t="n">
        <v>40</v>
      </c>
    </row>
    <row r="52" customFormat="false" ht="12.8" hidden="false" customHeight="false" outlineLevel="0" collapsed="false">
      <c r="A52" s="1" t="n">
        <v>2014782</v>
      </c>
      <c r="B52" s="1" t="n">
        <v>4</v>
      </c>
    </row>
    <row r="53" customFormat="false" ht="12.8" hidden="false" customHeight="false" outlineLevel="0" collapsed="false">
      <c r="A53" s="1" t="n">
        <v>2046501</v>
      </c>
      <c r="B53" s="1" t="n">
        <v>64</v>
      </c>
    </row>
    <row r="54" customFormat="false" ht="12.8" hidden="false" customHeight="false" outlineLevel="0" collapsed="false">
      <c r="A54" s="1" t="n">
        <v>2083011</v>
      </c>
      <c r="B54" s="1" t="n">
        <v>40</v>
      </c>
    </row>
    <row r="55" customFormat="false" ht="12.8" hidden="false" customHeight="false" outlineLevel="0" collapsed="false">
      <c r="A55" s="1" t="n">
        <v>2034930</v>
      </c>
      <c r="B55" s="1" t="n">
        <v>0</v>
      </c>
    </row>
    <row r="56" customFormat="false" ht="12.8" hidden="false" customHeight="false" outlineLevel="0" collapsed="false">
      <c r="A56" s="1" t="n">
        <v>2021689</v>
      </c>
      <c r="B56" s="1" t="n">
        <v>0</v>
      </c>
    </row>
    <row r="57" customFormat="false" ht="12.8" hidden="false" customHeight="false" outlineLevel="0" collapsed="false">
      <c r="A57" s="1" t="n">
        <v>1960045</v>
      </c>
      <c r="B57" s="1" t="n">
        <v>12</v>
      </c>
    </row>
    <row r="58" customFormat="false" ht="12.8" hidden="false" customHeight="false" outlineLevel="0" collapsed="false">
      <c r="A58" s="1" t="n">
        <v>2002583</v>
      </c>
      <c r="B58" s="1" t="n">
        <v>0</v>
      </c>
    </row>
    <row r="59" customFormat="false" ht="12.8" hidden="false" customHeight="false" outlineLevel="0" collapsed="false">
      <c r="A59" s="1" t="n">
        <v>2046790</v>
      </c>
      <c r="B59" s="1" t="n">
        <v>20</v>
      </c>
    </row>
    <row r="60" customFormat="false" ht="12.8" hidden="false" customHeight="false" outlineLevel="0" collapsed="false">
      <c r="A60" s="1" t="n">
        <v>1844504</v>
      </c>
      <c r="B60" s="1" t="n">
        <v>80</v>
      </c>
    </row>
    <row r="61" customFormat="false" ht="12.8" hidden="false" customHeight="false" outlineLevel="0" collapsed="false">
      <c r="A61" s="1" t="n">
        <v>1884714</v>
      </c>
      <c r="B61" s="1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/>
  <dcterms:modified xsi:type="dcterms:W3CDTF">2025-06-19T17:20:14Z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